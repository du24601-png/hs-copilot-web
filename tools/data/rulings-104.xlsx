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46450593cc481d" /></Relationships>
</file>

<file path=xl/workbook.xml><?xml version="1.0" encoding="utf-8"?>
<x:workbook xmlns:x="http://schemas.openxmlformats.org/spreadsheetml/2006/main">
  <x:sheets>
    <x:sheet xmlns:r="http://schemas.openxmlformats.org/officeDocument/2006/relationships" name="总览" sheetId="1" r:id="R8149902bd86946a7"/>
    <x:sheet xmlns:r="http://schemas.openxmlformats.org/officeDocument/2006/relationships" name="判例知识库" sheetId="2" r:id="R5294b88d33654675"/>
    <x:sheet xmlns:r="http://schemas.openxmlformats.org/officeDocument/2006/relationships" name="税号核对" sheetId="3" r:id="R00a2389b6e2f4fb1"/>
    <x:sheet xmlns:r="http://schemas.openxmlformats.org/officeDocument/2006/relationships" name="字段说明" sheetId="4" r:id="R78cc9359f47546a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12">
    <x:font>
      <x:sz val="11"/>
      <x:name val="Carlito"/>
    </x:font>
    <x:font>
      <x:b/>
      <x:sz val="18"/>
      <x:color rgb="FFFFFFFF"/>
      <x:name val="Carlito"/>
    </x:font>
    <x:font>
      <x:sz val="11"/>
      <x:color rgb="FF44546A"/>
      <x:name val="Carlito"/>
    </x:font>
    <x:font>
      <x:b/>
      <x:sz val="11"/>
      <x:color rgb="FFFFFFFF"/>
      <x:name val="Carlito"/>
    </x:font>
    <x:font>
      <x:b/>
      <x:sz val="11"/>
      <x:name val="Carlito"/>
    </x:font>
    <x:font>
      <x:b/>
      <x:sz val="18"/>
      <x:color rgb="FFFFFFFF"/>
      <x:name val="Microsoft YaHei"/>
    </x:font>
    <x:font>
      <x:sz val="11"/>
      <x:color rgb="FF44546A"/>
      <x:name val="Microsoft YaHei"/>
    </x:font>
    <x:font>
      <x:sz val="11"/>
      <x:name val="Microsoft YaHei"/>
    </x:font>
    <x:font>
      <x:b/>
      <x:sz val="11"/>
      <x:color rgb="FFFFFFFF"/>
      <x:name val="Microsoft YaHei"/>
    </x:font>
    <x:font>
      <x:b/>
      <x:sz val="11"/>
      <x:name val="Microsoft YaHei"/>
    </x:font>
    <x:font>
      <x:b/>
      <x:sz val="9"/>
      <x:color rgb="FFFFFFFF"/>
      <x:name val="Carlito"/>
    </x:font>
    <x:font>
      <x:sz val="9"/>
      <x:name val="Microsoft YaHei"/>
    </x:font>
  </x:fonts>
  <x:fills count="9">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2F5597"/>
      </x:patternFill>
    </x:fill>
    <x:fill>
      <x:patternFill patternType="solid">
        <x:fgColor rgb="FFEAF6FB"/>
      </x:patternFill>
    </x:fill>
    <x:fill>
      <x:patternFill patternType="solid">
        <x:fgColor rgb="FFE2F0D9"/>
      </x:patternFill>
    </x:fill>
    <x:fill>
      <x:patternFill patternType="solid">
        <x:fgColor rgb="FF44546A"/>
      </x:patternFill>
    </x:fill>
    <x:fill>
      <x:patternFill patternType="solid">
        <x:fgColor rgb="FFFFF2CC"/>
      </x:patternFill>
    </x:fill>
  </x:fills>
  <x:borders count="24">
    <x:border/>
    <x:border>
      <x:left style="thin">
        <x:color rgb="FFB4C7E7"/>
      </x:left>
      <x:top style="thin">
        <x:color rgb="FFB4C7E7"/>
      </x:top>
      <x:bottom style="thin">
        <x:color rgb="FFB4C7E7"/>
      </x:bottom>
    </x:border>
    <x:border>
      <x:top style="thin">
        <x:color rgb="FFB4C7E7"/>
      </x:top>
      <x:bottom style="thin">
        <x:color rgb="FFB4C7E7"/>
      </x:bottom>
    </x:border>
    <x:border>
      <x:right style="thin">
        <x:color rgb="FFB4C7E7"/>
      </x:right>
      <x:top style="thin">
        <x:color rgb="FFB4C7E7"/>
      </x:top>
      <x:bottom style="thin">
        <x:color rgb="FFB4C7E7"/>
      </x:bottom>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right style="thin">
        <x:color rgb="FFD9E2F3"/>
      </x:right>
      <x:bottom style="thin">
        <x:color rgb="FFD9E2F3"/>
      </x:bottom>
    </x:border>
    <x:border>
      <x:left style="thin">
        <x:color rgb="FFD9E2F3"/>
      </x:left>
      <x:right style="thin">
        <x:color rgb="FFB4C7E7"/>
      </x:right>
      <x:bottom style="thin">
        <x:color rgb="FFD9E2F3"/>
      </x:bottom>
    </x:border>
    <x:border>
      <x:left style="thin">
        <x:color rgb="FFB4C7E7"/>
      </x:left>
      <x:right style="thin">
        <x:color rgb="FFD9E2F3"/>
      </x:right>
      <x:top style="thin">
        <x:color rgb="FFD9E2F3"/>
      </x:top>
      <x:bottom style="thin">
        <x:color rgb="FFD9E2F3"/>
      </x:bottom>
    </x:border>
    <x:border>
      <x:left style="thin">
        <x:color rgb="FFD9E2F3"/>
      </x:left>
      <x:right style="thin">
        <x:color rgb="FFB4C7E7"/>
      </x:right>
      <x:top style="thin">
        <x:color rgb="FFD9E2F3"/>
      </x:top>
      <x:bottom style="thin">
        <x:color rgb="FFD9E2F3"/>
      </x:bottom>
    </x:border>
    <x:border>
      <x:left style="thin">
        <x:color rgb="FFD9E2F3"/>
      </x:left>
      <x:right style="thin">
        <x:color rgb="FFB4C7E7"/>
      </x:right>
      <x:top style="thin">
        <x:color rgb="FFD9E2F3"/>
      </x:top>
    </x:border>
    <x:border>
      <x:left style="thin">
        <x:color rgb="FFB4C7E7"/>
      </x:left>
      <x:right style="thin">
        <x:color rgb="FFD9E2F3"/>
      </x:right>
      <x:top style="thin">
        <x:color rgb="FFD9E2F3"/>
      </x:top>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s>
  <x:cellStyleXfs count="1">
    <x:xf numFmtId="0" fontId="0" fillId="0" borderId="0"/>
  </x:cellStyleXfs>
  <x:cellXfs count="9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5" borderId="0" xfId="0" applyNumberFormat="1" applyFont="1" applyFill="1" applyBorder="1"/>
    <x:xf numFmtId="0" fontId="0" fillId="5" borderId="4" xfId="0" applyNumberFormat="1" applyFont="1" applyFill="1" applyBorder="1"/>
    <x:xf numFmtId="0" fontId="0" fillId="5" borderId="5" xfId="0" applyNumberFormat="1" applyFont="1" applyFill="1" applyBorder="1"/>
    <x:xf numFmtId="0" fontId="0" fillId="5" borderId="6" xfId="0" applyNumberFormat="1" applyFont="1" applyFill="1" applyBorder="1"/>
    <x:xf numFmtId="0" fontId="0" fillId="5" borderId="7" xfId="0" applyNumberFormat="1" applyFont="1" applyFill="1" applyBorder="1"/>
    <x:xf numFmtId="0" fontId="0" fillId="5" borderId="8" xfId="0" applyNumberFormat="1" applyFont="1" applyFill="1" applyBorder="1"/>
    <x:xf numFmtId="0" fontId="0" fillId="5" borderId="9" xfId="0" applyNumberFormat="1" applyFont="1" applyFill="1" applyBorder="1"/>
    <x:xf numFmtId="0" fontId="0" fillId="6" borderId="0"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5" fillId="2" borderId="0" xfId="0" applyNumberFormat="1" applyFont="1" applyFill="1" applyBorder="1"/>
    <x:xf numFmtId="0" fontId="6" fillId="3" borderId="0" xfId="0" applyNumberFormat="1" applyFont="1" applyFill="1" applyBorder="1" applyAlignment="1">
      <x:alignment wrapText="1"/>
    </x:xf>
    <x:xf numFmtId="0" fontId="7" fillId="0" borderId="0" xfId="0" applyNumberFormat="1" applyFont="1" applyFill="1" applyBorder="1"/>
    <x:xf numFmtId="0" fontId="8" fillId="4" borderId="1" xfId="0" applyNumberFormat="1" applyFont="1" applyFill="1" applyBorder="1"/>
    <x:xf numFmtId="0" fontId="8" fillId="4" borderId="2" xfId="0" applyNumberFormat="1" applyFont="1" applyFill="1" applyBorder="1"/>
    <x:xf numFmtId="0" fontId="8" fillId="4" borderId="3"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6" borderId="4" xfId="0" applyNumberFormat="1" applyFont="1" applyFill="1" applyBorder="1"/>
    <x:xf numFmtId="0" fontId="7" fillId="6"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5" borderId="8" xfId="0" applyNumberFormat="1" applyFont="1" applyFill="1" applyBorder="1"/>
    <x:xf numFmtId="0" fontId="7" fillId="5" borderId="9"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8" fillId="7" borderId="0" xfId="0" applyNumberFormat="1" applyFont="1" applyFill="1" applyBorder="1"/>
    <x:xf numFmtId="0" fontId="9" fillId="0" borderId="0" xfId="0" applyNumberFormat="1" applyFont="1" applyFill="1" applyBorder="1" applyAlignment="1">
      <x:alignment horizontal="center"/>
    </x:xf>
    <x:xf numFmtId="0" fontId="7" fillId="0" borderId="0" xfId="0" applyNumberFormat="1" applyFont="1" applyFill="1" applyBorder="1" applyAlignment="1">
      <x:alignment wrapText="1"/>
    </x:xf>
    <x:xf numFmtId="0" fontId="5" fillId="2" borderId="10" xfId="0" applyNumberFormat="1" applyFont="1" applyFill="1" applyBorder="1"/>
    <x:xf numFmtId="0" fontId="5" fillId="2" borderId="11" xfId="0" applyNumberFormat="1" applyFont="1" applyFill="1" applyBorder="1"/>
    <x:xf numFmtId="0" fontId="5" fillId="2" borderId="12" xfId="0" applyNumberFormat="1" applyFont="1" applyFill="1" applyBorder="1"/>
    <x:xf numFmtId="0" fontId="6" fillId="3" borderId="13" xfId="0" applyNumberFormat="1" applyFont="1" applyFill="1" applyBorder="1" applyAlignment="1">
      <x:alignment wrapText="1"/>
    </x:xf>
    <x:xf numFmtId="0" fontId="6" fillId="3" borderId="14" xfId="0" applyNumberFormat="1" applyFont="1" applyFill="1" applyBorder="1" applyAlignment="1">
      <x:alignment wrapText="1"/>
    </x:xf>
    <x:xf numFmtId="0" fontId="7" fillId="0" borderId="13" xfId="0" applyNumberFormat="1" applyFont="1" applyFill="1" applyBorder="1"/>
    <x:xf numFmtId="0" fontId="7" fillId="0" borderId="14" xfId="0" applyNumberFormat="1" applyFont="1" applyFill="1" applyBorder="1"/>
    <x:xf numFmtId="0" fontId="7" fillId="0" borderId="15" xfId="0" applyNumberFormat="1" applyFont="1" applyFill="1" applyBorder="1"/>
    <x:xf numFmtId="0" fontId="7" fillId="6" borderId="16" xfId="0" applyNumberFormat="1" applyFont="1" applyFill="1" applyBorder="1"/>
    <x:xf numFmtId="0" fontId="7" fillId="0" borderId="17" xfId="0" applyNumberFormat="1" applyFont="1" applyFill="1" applyBorder="1"/>
    <x:xf numFmtId="0" fontId="7" fillId="6" borderId="18" xfId="0" applyNumberFormat="1" applyFont="1" applyFill="1" applyBorder="1"/>
    <x:xf numFmtId="0" fontId="7" fillId="6" borderId="19" xfId="0" applyNumberFormat="1" applyFont="1" applyFill="1" applyBorder="1"/>
    <x:xf numFmtId="0" fontId="7" fillId="0" borderId="20" xfId="0" applyNumberFormat="1" applyFont="1" applyFill="1" applyBorder="1"/>
    <x:xf numFmtId="0" fontId="8" fillId="7" borderId="13" xfId="0" applyNumberFormat="1" applyFont="1" applyFill="1" applyBorder="1"/>
    <x:xf numFmtId="0" fontId="8" fillId="7" borderId="14" xfId="0" applyNumberFormat="1" applyFont="1" applyFill="1" applyBorder="1"/>
    <x:xf numFmtId="0" fontId="9" fillId="0" borderId="13" xfId="0" applyNumberFormat="1" applyFont="1" applyFill="1" applyBorder="1" applyAlignment="1">
      <x:alignment horizontal="center"/>
    </x:xf>
    <x:xf numFmtId="0" fontId="7" fillId="0" borderId="14" xfId="0" applyNumberFormat="1" applyFont="1" applyFill="1" applyBorder="1" applyAlignment="1">
      <x:alignment wrapText="1"/>
    </x:xf>
    <x:xf numFmtId="0" fontId="9" fillId="0" borderId="21" xfId="0" applyNumberFormat="1" applyFont="1" applyFill="1" applyBorder="1" applyAlignment="1">
      <x:alignment horizontal="center"/>
    </x:xf>
    <x:xf numFmtId="0" fontId="7" fillId="0" borderId="22" xfId="0" applyNumberFormat="1" applyFont="1" applyFill="1" applyBorder="1" applyAlignment="1">
      <x:alignment wrapText="1"/>
    </x:xf>
    <x:xf numFmtId="0" fontId="7" fillId="0" borderId="23" xfId="0" applyNumberFormat="1" applyFont="1" applyFill="1" applyBorder="1" applyAlignment="1">
      <x:alignment wrapText="1"/>
    </x:xf>
    <x:xf numFmtId="0" fontId="10" fillId="2" borderId="0" xfId="0" applyNumberFormat="1" applyFont="1" applyFill="1" applyBorder="1"/>
    <x:xf numFmtId="0" fontId="10" fillId="2" borderId="0" xfId="0" applyNumberFormat="1" applyFont="1" applyFill="1" applyBorder="1" applyAlignment="1">
      <x:alignment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200" fontId="11" fillId="0" borderId="0" xfId="0" applyNumberFormat="1" applyFont="1" applyFill="1" applyBorder="1" applyAlignment="1">
      <x:alignment vertical="top" wrapText="1"/>
    </x:xf>
    <x:xf numFmtId="200" fontId="11" fillId="6" borderId="0" xfId="0" applyNumberFormat="1" applyFont="1" applyFill="1" applyBorder="1" applyAlignment="1">
      <x:alignment vertical="top" wrapText="1"/>
    </x:xf>
    <x:xf numFmtId="200" fontId="11" fillId="8"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7" fillId="0" borderId="0" xfId="0" applyNumberFormat="1" applyFont="1" applyFill="1" applyBorder="1" applyAlignment="1">
      <x:alignment vertical="top" wrapText="1"/>
    </x:xf>
  </x:cellXfs>
  <x:cellStyles count="1">
    <x:cellStyle name="Normal" xfId="0"/>
  </x:cellStyles>
  <x:dxfs count="2">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2f7dea9cafc4ac1" /><Relationship Type="http://schemas.openxmlformats.org/officeDocument/2006/relationships/theme" Target="/xl/theme/theme1.xml" Id="Rdf98cb6ac2a94056" /><Relationship Type="http://schemas.openxmlformats.org/officeDocument/2006/relationships/sharedStrings" Target="/xl/sharedStrings.xml" Id="R65daf6efab0c431e" /><Relationship Type="http://schemas.openxmlformats.org/officeDocument/2006/relationships/worksheet" Target="/xl/worksheets/sheet1.xml" Id="R8149902bd86946a7" /><Relationship Type="http://schemas.openxmlformats.org/officeDocument/2006/relationships/worksheet" Target="/xl/worksheets/sheet2.xml" Id="R5294b88d33654675" /><Relationship Type="http://schemas.openxmlformats.org/officeDocument/2006/relationships/worksheet" Target="/xl/worksheets/sheet3.xml" Id="R00a2389b6e2f4fb1" /><Relationship Type="http://schemas.openxmlformats.org/officeDocument/2006/relationships/worksheet" Target="/xl/worksheets/sheet4.xml" Id="R78cc9359f47546a8" /></Relationships>
</file>

<file path=xl/tables/table1.xml><?xml version="1.0" encoding="utf-8"?>
<x:table xmlns:x="http://schemas.openxmlformats.org/spreadsheetml/2006/main" id="1" name="RulingCases104" displayName="RulingCases104" ref="A1:AA105" headerRowCount="1" totalsRowCount="0" totalsRowShown="0">
  <x:autoFilter ref="A1:AA105"/>
  <x:tableColumns count="27">
    <x:tableColumn id="1" name="year"/>
    <x:tableColumn id="2" name="decision_no"/>
    <x:tableColumn id="3" name="case_type"/>
    <x:tableColumn id="4" name="hs_code_original"/>
    <x:tableColumn id="5" name="heading_4"/>
    <x:tableColumn id="6" name="subheading_6"/>
    <x:tableColumn id="7" name="code_level"/>
    <x:tableColumn id="8" name="product_name_cn"/>
    <x:tableColumn id="9" name="product_name_en"/>
    <x:tableColumn id="10" name="specification"/>
    <x:tableColumn id="11" name="product_description"/>
    <x:tableColumn id="12" name="classification_decision"/>
    <x:tableColumn id="13" name="rule_basis"/>
    <x:tableColumn id="14" name="announcement_no"/>
    <x:tableColumn id="15" name="publish_date"/>
    <x:tableColumn id="16" name="effective_date"/>
    <x:tableColumn id="17" name="validity_status"/>
    <x:tableColumn id="18" name="replaced_by"/>
    <x:tableColumn id="19" name="verification_grade"/>
    <x:tableColumn id="20" name="content_source"/>
    <x:tableColumn id="21" name="source_file"/>
    <x:tableColumn id="22" name="content_source_url"/>
    <x:tableColumn id="23" name="official_notice_url"/>
    <x:tableColumn id="24" name="raw_text_status"/>
    <x:tableColumn id="25" name="current_code_2026"/>
    <x:tableColumn id="26" name="code_status_2026"/>
    <x:tableColumn id="27" name="knowledge_status"/>
  </x:tableColumns>
  <x:tableStyleInfo name="TableStyleMedium2" showFirstColumn="0" showLastColumn="0" showRowStripes="1" showColumnStripes="0"/>
</x:table>
</file>

<file path=xl/tables/table2.xml><?xml version="1.0" encoding="utf-8"?>
<x:table xmlns:x="http://schemas.openxmlformats.org/spreadsheetml/2006/main" id="2" name="CodeAudit104" displayName="CodeAudit104" ref="A1:J105" headerRowCount="1" totalsRowCount="0" totalsRowShown="0">
  <x:autoFilter ref="A1:J105"/>
  <x:tableColumns count="10">
    <x:tableColumn id="1" name="decision_no"/>
    <x:tableColumn id="2" name="product_name_cn"/>
    <x:tableColumn id="3" name="hs_code_original"/>
    <x:tableColumn id="4" name="code_level"/>
    <x:tableColumn id="5" name="normalized_prefix"/>
    <x:tableColumn id="6" name="match_count"/>
    <x:tableColumn id="7" name="核对结果"/>
    <x:tableColumn id="8" name="current_code_2026"/>
    <x:tableColumn id="9" name="2026候选编码"/>
    <x:tableColumn id="10" name="2026候选编码及品名"/>
  </x:tableColumns>
  <x:tableStyleInfo name="TableStyleMedium2" showFirstColumn="0" showLastColumn="0" showRowStripes="1" showColumnStripes="0"/>
</x:table>
</file>

<file path=xl/tables/table3.xml><?xml version="1.0" encoding="utf-8"?>
<x:table xmlns:x="http://schemas.openxmlformats.org/spreadsheetml/2006/main" id="3" name="FieldDictionary104" displayName="FieldDictionary104" ref="A1:B16" headerRowCount="1" totalsRowCount="0" totalsRowShown="0">
  <x:tableColumns count="2">
    <x:tableColumn id="1" name="字段"/>
    <x:tableColumn id="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8871fec82e497f" /></Relationships>
</file>

<file path=xl/worksheets/_rels/sheet3.xml.rels>&#65279;<?xml version="1.0" encoding="utf-8"?><Relationships xmlns="http://schemas.openxmlformats.org/package/2006/relationships"><Relationship Type="http://schemas.openxmlformats.org/officeDocument/2006/relationships/table" Target="/xl/tables/table2.xml" Id="Rebfb061054524333" /></Relationships>
</file>

<file path=xl/worksheets/_rels/sheet4.xml.rels>&#65279;<?xml version="1.0" encoding="utf-8"?><Relationships xmlns="http://schemas.openxmlformats.org/package/2006/relationships"><Relationship Type="http://schemas.openxmlformats.org/officeDocument/2006/relationships/table" Target="/xl/tables/table3.xml" Id="Rae5be7ef3564462b"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4" hidden="0" customWidth="1"/>
    <x:col min="4" max="4" width="13" hidden="0" customWidth="1"/>
    <x:col min="5" max="5" width="13" hidden="0" customWidth="1"/>
    <x:col min="6" max="6" width="4" hidden="0" customWidth="1"/>
    <x:col min="7" max="7" width="26" hidden="0" customWidth="1"/>
    <x:col min="8" max="8" width="13" hidden="0" customWidth="1"/>
  </x:cols>
  <x:sheetData>
    <x:row r="1" ht="34" customHeight="1">
      <x:c r="A1" s="63" t="str">
        <x:v>HS Copilot · 商品归类判例知识库（104条清洗版）</x:v>
      </x:c>
      <x:c r="B1" s="64" t="str">
        <x:v>HS Copilot · 商品归类判例知识库（104条清洗版）</x:v>
      </x:c>
      <x:c r="C1" s="64" t="str">
        <x:v>HS Copilot · 商品归类判例知识库（104条清洗版）</x:v>
      </x:c>
      <x:c r="D1" s="64" t="str">
        <x:v>HS Copilot · 商品归类判例知识库（104条清洗版）</x:v>
      </x:c>
      <x:c r="E1" s="64" t="str">
        <x:v>HS Copilot · 商品归类判例知识库（104条清洗版）</x:v>
      </x:c>
      <x:c r="F1" s="64" t="str">
        <x:v>HS Copilot · 商品归类判例知识库（104条清洗版）</x:v>
      </x:c>
      <x:c r="G1" s="64" t="str">
        <x:v>HS Copilot · 商品归类判例知识库（104条清洗版）</x:v>
      </x:c>
      <x:c r="H1" s="65" t="str">
        <x:v>HS Copilot · 商品归类判例知识库（104条清洗版）</x:v>
      </x:c>
    </x:row>
    <x:row r="2" ht="32" customHeight="1">
      <x:c r="A2" s="66" t="str">
        <x:v>仅保留 knowledge_status=可入库 的104条判例；历史税号与当前 hs_copilot.db 做前缀核对，唯一候选才填入 current_code_2026，多候选保留在“税号核对”表中。</x:v>
      </x:c>
      <x:c r="B2" s="37" t="str">
        <x:v>仅保留 knowledge_status=可入库 的104条判例；历史税号与当前 hs_copilot.db 做前缀核对，唯一候选才填入 current_code_2026，多候选保留在“税号核对”表中。</x:v>
      </x:c>
      <x:c r="C2" s="37" t="str">
        <x:v>仅保留 knowledge_status=可入库 的104条判例；历史税号与当前 hs_copilot.db 做前缀核对，唯一候选才填入 current_code_2026，多候选保留在“税号核对”表中。</x:v>
      </x:c>
      <x:c r="D2" s="37" t="str">
        <x:v>仅保留 knowledge_status=可入库 的104条判例；历史税号与当前 hs_copilot.db 做前缀核对，唯一候选才填入 current_code_2026，多候选保留在“税号核对”表中。</x:v>
      </x:c>
      <x:c r="E2" s="37" t="str">
        <x:v>仅保留 knowledge_status=可入库 的104条判例；历史税号与当前 hs_copilot.db 做前缀核对，唯一候选才填入 current_code_2026，多候选保留在“税号核对”表中。</x:v>
      </x:c>
      <x:c r="F2" s="37" t="str">
        <x:v>仅保留 knowledge_status=可入库 的104条判例；历史税号与当前 hs_copilot.db 做前缀核对，唯一候选才填入 current_code_2026，多候选保留在“税号核对”表中。</x:v>
      </x:c>
      <x:c r="G2" s="37" t="str">
        <x:v>仅保留 knowledge_status=可入库 的104条判例；历史税号与当前 hs_copilot.db 做前缀核对，唯一候选才填入 current_code_2026，多候选保留在“税号核对”表中。</x:v>
      </x:c>
      <x:c r="H2" s="67" t="str">
        <x:v>仅保留 knowledge_status=可入库 的104条判例；历史税号与当前 hs_copilot.db 做前缀核对，唯一候选才填入 current_code_2026，多候选保留在“税号核对”表中。</x:v>
      </x:c>
    </x:row>
    <x:row r="3">
      <x:c r="A3" s="68"/>
      <x:c r="B3" s="38"/>
      <x:c r="C3" s="38"/>
      <x:c r="D3" s="38"/>
      <x:c r="E3" s="38"/>
      <x:c r="F3" s="38"/>
      <x:c r="G3" s="38"/>
      <x:c r="H3" s="69"/>
    </x:row>
    <x:row r="4">
      <x:c r="A4" s="39" t="str">
        <x:v>指标</x:v>
      </x:c>
      <x:c r="B4" s="40" t="str">
        <x:v>数量</x:v>
      </x:c>
      <x:c r="C4" s="40"/>
      <x:c r="D4" s="40" t="str">
        <x:v>年份</x:v>
      </x:c>
      <x:c r="E4" s="40" t="str">
        <x:v>案例数</x:v>
      </x:c>
      <x:c r="F4" s="40"/>
      <x:c r="G4" s="40" t="str">
        <x:v>类型</x:v>
      </x:c>
      <x:c r="H4" s="41" t="str">
        <x:v>案例数</x:v>
      </x:c>
    </x:row>
    <x:row r="5">
      <x:c r="A5" s="70" t="str">
        <x:v>判例总数</x:v>
      </x:c>
      <x:c r="B5" s="43" t="n">
        <x:f>COUNTA('判例知识库'!$B$2:$B$105)</x:f>
        <x:v>104</x:v>
      </x:c>
      <x:c r="C5" s="38"/>
      <x:c r="D5" s="44" t="n">
        <x:v>2023</x:v>
      </x:c>
      <x:c r="E5" s="45" t="n">
        <x:f>COUNTIF('判例知识库'!$A$2:$A$105,D5)</x:f>
        <x:v>76</x:v>
      </x:c>
      <x:c r="F5" s="38"/>
      <x:c r="G5" s="46" t="str">
        <x:v>中国归类决定(Z)</x:v>
      </x:c>
      <x:c r="H5" s="71" t="n">
        <x:f>COUNTIF('判例知识库'!$C$2:$C$105,G5)</x:f>
        <x:v>71</x:v>
      </x:c>
    </x:row>
    <x:row r="6">
      <x:c r="A6" s="72" t="str">
        <x:v>可入库</x:v>
      </x:c>
      <x:c r="B6" s="49" t="n">
        <x:f>COUNTIF('判例知识库'!$AA$2:$AA$105,"可入库")</x:f>
        <x:v>104</x:v>
      </x:c>
      <x:c r="C6" s="38"/>
      <x:c r="D6" s="50" t="n">
        <x:v>2024</x:v>
      </x:c>
      <x:c r="E6" s="51" t="n">
        <x:f>COUNTIF('判例知识库'!$A$2:$A$105,D6)</x:f>
        <x:v>11</x:v>
      </x:c>
      <x:c r="F6" s="38"/>
      <x:c r="G6" s="52" t="str">
        <x:v>J类归类决定</x:v>
      </x:c>
      <x:c r="H6" s="73" t="n">
        <x:f>COUNTIF('判例知识库'!$C$2:$C$105,G6)</x:f>
        <x:v>9</x:v>
      </x:c>
    </x:row>
    <x:row r="7">
      <x:c r="A7" s="72" t="str">
        <x:v>唯一现行候选</x:v>
      </x:c>
      <x:c r="B7" s="49" t="n">
        <x:f>COUNTIF('税号核对'!$G$2:$G$105,"唯一现行候选")</x:f>
        <x:v>27</x:v>
      </x:c>
      <x:c r="C7" s="38"/>
      <x:c r="D7" s="54" t="n">
        <x:v>2025</x:v>
      </x:c>
      <x:c r="E7" s="55" t="n">
        <x:f>COUNTIF('判例知识库'!$A$2:$A$105,D7)</x:f>
        <x:v>17</x:v>
      </x:c>
      <x:c r="F7" s="38"/>
      <x:c r="G7" s="56" t="str">
        <x:v>WCO转化决定(W)</x:v>
      </x:c>
      <x:c r="H7" s="74" t="n">
        <x:f>COUNTIF('判例知识库'!$C$2:$C$105,G7)</x:f>
        <x:v>24</x:v>
      </x:c>
    </x:row>
    <x:row r="8">
      <x:c r="A8" s="72" t="str">
        <x:v>多候选待映射</x:v>
      </x:c>
      <x:c r="B8" s="49" t="n">
        <x:f>COUNTIF('税号核对'!$G$2:$G$105,"多候选")</x:f>
        <x:v>77</x:v>
      </x:c>
      <x:c r="C8" s="38"/>
      <x:c r="D8" s="38"/>
      <x:c r="E8" s="38"/>
      <x:c r="F8" s="38"/>
      <x:c r="G8" s="38"/>
      <x:c r="H8" s="69"/>
    </x:row>
    <x:row r="9">
      <x:c r="A9" s="75" t="str">
        <x:v>无匹配</x:v>
      </x:c>
      <x:c r="B9" s="59" t="n">
        <x:f>COUNTIF('税号核对'!$G$2:$G$105,"无匹配")</x:f>
        <x:v>0</x:v>
      </x:c>
      <x:c r="C9" s="38"/>
      <x:c r="D9" s="38"/>
      <x:c r="E9" s="38"/>
      <x:c r="F9" s="38"/>
      <x:c r="G9" s="38"/>
      <x:c r="H9" s="69"/>
    </x:row>
    <x:row r="10">
      <x:c r="A10" s="68"/>
      <x:c r="B10" s="38"/>
      <x:c r="C10" s="38"/>
      <x:c r="D10" s="38"/>
      <x:c r="E10" s="38"/>
      <x:c r="F10" s="38"/>
      <x:c r="G10" s="38"/>
      <x:c r="H10" s="69"/>
    </x:row>
    <x:row r="11">
      <x:c r="A11" s="76" t="str">
        <x:v>核对说明</x:v>
      </x:c>
      <x:c r="B11" s="60" t="str">
        <x:v>核对说明</x:v>
      </x:c>
      <x:c r="C11" s="60" t="str">
        <x:v>核对说明</x:v>
      </x:c>
      <x:c r="D11" s="60" t="str">
        <x:v>核对说明</x:v>
      </x:c>
      <x:c r="E11" s="60" t="str">
        <x:v>核对说明</x:v>
      </x:c>
      <x:c r="F11" s="60" t="str">
        <x:v>核对说明</x:v>
      </x:c>
      <x:c r="G11" s="60" t="str">
        <x:v>核对说明</x:v>
      </x:c>
      <x:c r="H11" s="77" t="str">
        <x:v>核对说明</x:v>
      </x:c>
    </x:row>
    <x:row r="12">
      <x:c r="A12" s="78" t="str">
        <x:v>1</x:v>
      </x:c>
      <x:c r="B12" s="62" t="str">
        <x:v>hs_code_original 保留判例发布当年的历史税号，不用2026编码覆盖。</x:v>
      </x:c>
      <x:c r="C12" s="62"/>
      <x:c r="D12" s="62"/>
      <x:c r="E12" s="62"/>
      <x:c r="F12" s="62"/>
      <x:c r="G12" s="62"/>
      <x:c r="H12" s="79"/>
    </x:row>
    <x:row r="13">
      <x:c r="A13" s="78" t="str">
        <x:v>2</x:v>
      </x:c>
      <x:c r="B13" s="62" t="str">
        <x:v>current_code_2026 只在历史前缀仅有一个现行候选时填写；这仍是前缀核对结果，不等于完成业务归类审核。</x:v>
      </x:c>
      <x:c r="C13" s="62"/>
      <x:c r="D13" s="62"/>
      <x:c r="E13" s="62"/>
      <x:c r="F13" s="62"/>
      <x:c r="G13" s="62"/>
      <x:c r="H13" s="79"/>
    </x:row>
    <x:row r="14">
      <x:c r="A14" s="78" t="str">
        <x:v>3</x:v>
      </x:c>
      <x:c r="B14" s="62" t="str">
        <x:v>多候选记录在“税号核对”表列出全部现行候选，后续结合商品事实、税则注释和人工审核确认。</x:v>
      </x:c>
      <x:c r="C14" s="62"/>
      <x:c r="D14" s="62"/>
      <x:c r="E14" s="62"/>
      <x:c r="F14" s="62"/>
      <x:c r="G14" s="62"/>
      <x:c r="H14" s="79"/>
    </x:row>
    <x:row r="15">
      <x:c r="A15" s="80" t="str">
        <x:v>4</x:v>
      </x:c>
      <x:c r="B15" s="81" t="str">
        <x:v>原始工作簿 SHA-256：A4C4E75D0F04430409A3B464CA047691A16220A8CADBF3ED1D13891FF04CCCCA</x:v>
      </x:c>
      <x:c r="C15" s="81"/>
      <x:c r="D15" s="81"/>
      <x:c r="E15" s="81"/>
      <x:c r="F15" s="81"/>
      <x:c r="G15" s="81"/>
      <x:c r="H15" s="82"/>
    </x:row>
  </x:sheetData>
  <x:mergeCells>
    <x:mergeCell ref="A1:H1"/>
    <x:mergeCell ref="A2:H2"/>
    <x:mergeCell ref="A11:H11"/>
    <x:mergeCell ref="B12:H12"/>
    <x:mergeCell ref="B13:H13"/>
    <x:mergeCell ref="B14:H14"/>
    <x:mergeCell ref="B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5" hidden="0" customWidth="1"/>
    <x:col min="3" max="3" width="18" hidden="0" customWidth="1"/>
    <x:col min="4" max="4" width="15" hidden="0" customWidth="1"/>
    <x:col min="5" max="5" width="10" hidden="0" customWidth="1"/>
    <x:col min="6" max="6" width="12" hidden="0" customWidth="1"/>
    <x:col min="7" max="7" width="8" hidden="0" customWidth="1"/>
    <x:col min="8" max="8" width="22" hidden="0" customWidth="1"/>
    <x:col min="9" max="9" width="22" hidden="0" customWidth="1"/>
    <x:col min="10" max="10" width="18" hidden="0" customWidth="1"/>
    <x:col min="11" max="11" width="48" hidden="0" customWidth="1"/>
    <x:col min="12" max="12" width="48" hidden="0" customWidth="1"/>
    <x:col min="13" max="13" width="28" hidden="0" customWidth="1"/>
    <x:col min="14" max="14" width="25" hidden="0" customWidth="1"/>
    <x:col min="15" max="15" width="13" hidden="0" customWidth="1"/>
    <x:col min="16" max="16" width="13" hidden="0" customWidth="1"/>
    <x:col min="17" max="17" width="24" hidden="0" customWidth="1"/>
    <x:col min="18" max="18" width="15" hidden="0" customWidth="1"/>
    <x:col min="19" max="19" width="11" hidden="0" customWidth="1"/>
    <x:col min="20" max="20" width="28" hidden="0" customWidth="1"/>
    <x:col min="21" max="21" width="24" hidden="0" customWidth="1"/>
    <x:col min="22" max="22" width="32" hidden="0" customWidth="1"/>
    <x:col min="23" max="23" width="32" hidden="0" customWidth="1"/>
    <x:col min="24" max="24" width="28" hidden="0" customWidth="1"/>
    <x:col min="25" max="25" width="18" hidden="0" customWidth="1"/>
    <x:col min="26" max="26" width="32" hidden="0" customWidth="1"/>
    <x:col min="27" max="27" width="12" hidden="0" customWidth="1"/>
  </x:cols>
  <x:sheetData>
    <x:row r="1" ht="32" customHeight="1">
      <x:c r="A1" s="84" t="str">
        <x:v>year</x:v>
      </x:c>
      <x:c r="B1" s="84" t="str">
        <x:v>decision_no</x:v>
      </x:c>
      <x:c r="C1" s="84" t="str">
        <x:v>case_type</x:v>
      </x:c>
      <x:c r="D1" s="84" t="str">
        <x:v>hs_code_original</x:v>
      </x:c>
      <x:c r="E1" s="84" t="str">
        <x:v>heading_4</x:v>
      </x:c>
      <x:c r="F1" s="84" t="str">
        <x:v>subheading_6</x:v>
      </x:c>
      <x:c r="G1" s="84" t="str">
        <x:v>code_level</x:v>
      </x:c>
      <x:c r="H1" s="84" t="str">
        <x:v>product_name_cn</x:v>
      </x:c>
      <x:c r="I1" s="84" t="str">
        <x:v>product_name_en</x:v>
      </x:c>
      <x:c r="J1" s="84" t="str">
        <x:v>specification</x:v>
      </x:c>
      <x:c r="K1" s="84" t="str">
        <x:v>product_description</x:v>
      </x:c>
      <x:c r="L1" s="84" t="str">
        <x:v>classification_decision</x:v>
      </x:c>
      <x:c r="M1" s="84" t="str">
        <x:v>rule_basis</x:v>
      </x:c>
      <x:c r="N1" s="84" t="str">
        <x:v>announcement_no</x:v>
      </x:c>
      <x:c r="O1" s="84" t="str">
        <x:v>publish_date</x:v>
      </x:c>
      <x:c r="P1" s="84" t="str">
        <x:v>effective_date</x:v>
      </x:c>
      <x:c r="Q1" s="84" t="str">
        <x:v>validity_status</x:v>
      </x:c>
      <x:c r="R1" s="84" t="str">
        <x:v>replaced_by</x:v>
      </x:c>
      <x:c r="S1" s="84" t="str">
        <x:v>verification_grade</x:v>
      </x:c>
      <x:c r="T1" s="84" t="str">
        <x:v>content_source</x:v>
      </x:c>
      <x:c r="U1" s="84" t="str">
        <x:v>source_file</x:v>
      </x:c>
      <x:c r="V1" s="84" t="str">
        <x:v>content_source_url</x:v>
      </x:c>
      <x:c r="W1" s="84" t="str">
        <x:v>official_notice_url</x:v>
      </x:c>
      <x:c r="X1" s="84" t="str">
        <x:v>raw_text_status</x:v>
      </x:c>
      <x:c r="Y1" s="84" t="str">
        <x:v>current_code_2026</x:v>
      </x:c>
      <x:c r="Z1" s="84" t="str">
        <x:v>code_status_2026</x:v>
      </x:c>
      <x:c r="AA1" s="84" t="str">
        <x:v>knowledge_status</x:v>
      </x:c>
    </x:row>
    <x:row r="2" ht="46" customHeight="1">
      <x:c r="A2" s="87" t="n">
        <x:v>2023</x:v>
      </x:c>
      <x:c r="B2" s="87" t="str">
        <x:v>J2023-0001</x:v>
      </x:c>
      <x:c r="C2" s="87" t="str">
        <x:v>J类归类决定</x:v>
      </x:c>
      <x:c r="D2" s="88" t="str">
        <x:v>8711.6000</x:v>
      </x:c>
      <x:c r="E2" s="88" t="str">
        <x:v>8711</x:v>
      </x:c>
      <x:c r="F2" s="88" t="str">
        <x:v>871160</x:v>
      </x:c>
      <x:c r="G2" s="88" t="str">
        <x:v>8位</x:v>
      </x:c>
      <x:c r="H2" s="87" t="str">
        <x:v>单轮电动平衡车</x:v>
      </x:c>
      <x:c r="I2" s="87"/>
      <x:c r="J2" s="87" t="str">
        <x:v>无</x:v>
      </x:c>
      <x:c r="K2" s="87" t="str">
        <x:v>该商品由车体、车轮、电动机、蓄电池、驱动电路、控制电路、传感器（陀螺仪、加速度计）等构成，运行中以姿态传感器（陀螺仪、加速度计）来监测车身所处的俯仰状态、左右倾斜状态和状态变化率，通过高速微控制器计算出适当数据和指令后传给驱动电路，然后驱动电动机产生前进或后退的加速度来达到车体前后平衡的效果，用于在人的姿态控制下保持自平衡，并进行运动。</x:v>
      </x:c>
      <x:c r="L2" s="87" t="str">
        <x:v>该商品为装有驱动电动机的车辆，根据该商品设备构成、运行原理和用途，符合税目87.11的商品描述，根据归类总规则一及六，应归入税则号列8711.6000。</x:v>
      </x:c>
      <x:c r="M2" s="87" t="str">
        <x:v>归类总规则一及六</x:v>
      </x:c>
      <x:c r="N2" s="87" t="str">
        <x:v>海关总署公告2023年第94号</x:v>
      </x:c>
      <x:c r="O2" s="87"/>
      <x:c r="P2" s="87"/>
      <x:c r="Q2" s="87" t="str">
        <x:v>未在所附2025失效清单中</x:v>
      </x:c>
      <x:c r="R2" s="87"/>
      <x:c r="S2" s="87" t="str">
        <x:v>A</x:v>
      </x:c>
      <x:c r="T2" s="87" t="str">
        <x:v>用户提供的官方公告附件</x:v>
      </x:c>
      <x:c r="U2" s="87" t="str">
        <x:v>6351691393903988.doc</x:v>
      </x:c>
      <x:c r="V2" s="87"/>
      <x:c r="W2" s="87"/>
      <x:c r="X2" s="87" t="str">
        <x:v>官方附件原文</x:v>
      </x:c>
      <x:c r="Y2" s="89" t="str">
        <x:v>8711600000</x:v>
      </x:c>
      <x:c r="Z2" s="90" t="str">
        <x:v>前缀核对通过：唯一候选，待业务确认</x:v>
      </x:c>
      <x:c r="AA2" s="87" t="str">
        <x:v>可入库</x:v>
      </x:c>
    </x:row>
    <x:row r="3" ht="46" customHeight="1">
      <x:c r="A3" s="87" t="n">
        <x:v>2023</x:v>
      </x:c>
      <x:c r="B3" s="87" t="str">
        <x:v>W2023-1</x:v>
      </x:c>
      <x:c r="C3" s="87" t="str">
        <x:v>WCO转化决定(W)</x:v>
      </x:c>
      <x:c r="D3" s="88" t="str">
        <x:v>1704.90</x:v>
      </x:c>
      <x:c r="E3" s="88" t="str">
        <x:v>1704</x:v>
      </x:c>
      <x:c r="F3" s="88" t="str">
        <x:v>170490</x:v>
      </x:c>
      <x:c r="G3" s="88" t="str">
        <x:v>6位</x:v>
      </x:c>
      <x:c r="H3" s="87" t="str">
        <x:v>草本止咳糖</x:v>
      </x:c>
      <x:c r="I3" s="87" t="str">
        <x:v>Herbal cough tablets</x:v>
      </x:c>
      <x:c r="J3" s="87"/>
      <x:c r="K3" s="87" t="str">
        <x:v>草本止咳糖，主要由糖和少量甘草、生姜、印度醋栗和薄荷醇组成。该产品用于改善各种类型的咳嗽、声音嘶哑和咽痛症状。</x:v>
      </x:c>
      <x:c r="L3" s="87"/>
      <x:c r="M3" s="87" t="str">
        <x:v>归类总规则一及六</x:v>
      </x:c>
      <x:c r="N3" s="87" t="str">
        <x:v>海关总署公告2023年第94号</x:v>
      </x:c>
      <x:c r="O3" s="87"/>
      <x:c r="P3" s="87"/>
      <x:c r="Q3" s="87" t="str">
        <x:v>未在所附2025失效清单中</x:v>
      </x:c>
      <x:c r="R3" s="87"/>
      <x:c r="S3" s="87" t="str">
        <x:v>A</x:v>
      </x:c>
      <x:c r="T3" s="87" t="str">
        <x:v>用户提供的官方公告附件</x:v>
      </x:c>
      <x:c r="U3" s="87" t="str">
        <x:v>53371691393917063.doc</x:v>
      </x:c>
      <x:c r="V3" s="87"/>
      <x:c r="W3" s="87"/>
      <x:c r="X3" s="87" t="str">
        <x:v>官方附件原文（WCO表未单列归类决定叙述，仅列归类依据）</x:v>
      </x:c>
      <x:c r="Y3" s="89" t="str">
        <x:v>1704900000</x:v>
      </x:c>
      <x:c r="Z3" s="90" t="str">
        <x:v>前缀核对通过：唯一候选，待业务确认</x:v>
      </x:c>
      <x:c r="AA3" s="87" t="str">
        <x:v>可入库</x:v>
      </x:c>
    </x:row>
    <x:row r="4" ht="46" customHeight="1">
      <x:c r="A4" s="87" t="n">
        <x:v>2023</x:v>
      </x:c>
      <x:c r="B4" s="87" t="str">
        <x:v>W2023-10</x:v>
      </x:c>
      <x:c r="C4" s="87" t="str">
        <x:v>WCO转化决定(W)</x:v>
      </x:c>
      <x:c r="D4" s="88" t="str">
        <x:v>2404.91</x:v>
      </x:c>
      <x:c r="E4" s="88" t="str">
        <x:v>2404</x:v>
      </x:c>
      <x:c r="F4" s="88" t="str">
        <x:v>240491</x:v>
      </x:c>
      <x:c r="G4" s="88" t="str">
        <x:v>6位</x:v>
      </x:c>
      <x:c r="H4" s="87" t="str">
        <x:v>一次性口服尼古丁包</x:v>
      </x:c>
      <x:c r="I4" s="87" t="str">
        <x:v>Single-use oral nicotine pouches</x:v>
      </x:c>
      <x:c r="J4" s="87"/>
      <x:c r="K4" s="87" t="str">
        <x:v>一次性口服尼古丁包，不含烟草成分，含有药物级尼古丁、水和其他食品级成分，包括桉树和松树纤维、香料和甜味剂。使用时将小包尼古丁放在牙龈和上唇之间使用。在使用过程中，产品会释放尼古丁和香料，只有尼古丁会通过牙龈的口腔粘膜被吸收。产品不具有辅助戒烟用途。</x:v>
      </x:c>
      <x:c r="L4" s="87"/>
      <x:c r="M4" s="87" t="str">
        <x:v>归类总规则一及六</x:v>
      </x:c>
      <x:c r="N4" s="87" t="str">
        <x:v>海关总署公告2023年第94号</x:v>
      </x:c>
      <x:c r="O4" s="87"/>
      <x:c r="P4" s="87"/>
      <x:c r="Q4" s="87" t="str">
        <x:v>未在所附2025失效清单中</x:v>
      </x:c>
      <x:c r="R4" s="87"/>
      <x:c r="S4" s="87" t="str">
        <x:v>A</x:v>
      </x:c>
      <x:c r="T4" s="87" t="str">
        <x:v>用户提供的官方公告附件</x:v>
      </x:c>
      <x:c r="U4" s="87" t="str">
        <x:v>53371691393917063.doc</x:v>
      </x:c>
      <x:c r="V4" s="87"/>
      <x:c r="W4" s="87"/>
      <x:c r="X4" s="87" t="str">
        <x:v>官方附件原文（WCO表未单列归类决定叙述，仅列归类依据）</x:v>
      </x:c>
      <x:c r="Y4" s="89" t="str"/>
      <x:c r="Z4" s="90" t="str">
        <x:v>前缀核对通过：2个候选，需人工映射</x:v>
      </x:c>
      <x:c r="AA4" s="87" t="str">
        <x:v>可入库</x:v>
      </x:c>
    </x:row>
    <x:row r="5" ht="46" customHeight="1">
      <x:c r="A5" s="87" t="n">
        <x:v>2023</x:v>
      </x:c>
      <x:c r="B5" s="87" t="str">
        <x:v>W2023-11</x:v>
      </x:c>
      <x:c r="C5" s="87" t="str">
        <x:v>WCO转化决定(W)</x:v>
      </x:c>
      <x:c r="D5" s="88" t="str">
        <x:v>2933.39</x:v>
      </x:c>
      <x:c r="E5" s="88" t="str">
        <x:v>2933</x:v>
      </x:c>
      <x:c r="F5" s="88" t="str">
        <x:v>293339</x:v>
      </x:c>
      <x:c r="G5" s="88" t="str">
        <x:v>6位</x:v>
      </x:c>
      <x:c r="H5" s="87" t="str">
        <x:v>除草剂的中间产品</x:v>
      </x:c>
      <x:c r="I5" s="87" t="str">
        <x:v>Product</x:v>
      </x:c>
      <x:c r="J5" s="87"/>
      <x:c r="K5" s="87" t="str">
        <x:v>除草剂的中间产品，为棕色、澄清或微浊的水溶性液体，成分为：二氯百草枯（N,N’-二甲基-4，4’-联吡啶鎓盐二氯化物）（44.16~48.58 %）、催吐剂（PP796，最高含量0.1%）和着色剂。该产品需要经过进一步混合来制成最终产品。本产品包装规格为桶装或散装。</x:v>
      </x:c>
      <x:c r="L5" s="87"/>
      <x:c r="M5" s="87" t="str">
        <x:v>归类总规则一【第二十九章注释一（七）和第三十八章注释一（一）】及六</x:v>
      </x:c>
      <x:c r="N5" s="87" t="str">
        <x:v>海关总署公告2023年第94号</x:v>
      </x:c>
      <x:c r="O5" s="87"/>
      <x:c r="P5" s="87"/>
      <x:c r="Q5" s="87" t="str">
        <x:v>未在所附2025失效清单中</x:v>
      </x:c>
      <x:c r="R5" s="87"/>
      <x:c r="S5" s="87" t="str">
        <x:v>A</x:v>
      </x:c>
      <x:c r="T5" s="87" t="str">
        <x:v>用户提供的官方公告附件</x:v>
      </x:c>
      <x:c r="U5" s="87" t="str">
        <x:v>53371691393917063.doc</x:v>
      </x:c>
      <x:c r="V5" s="87"/>
      <x:c r="W5" s="87"/>
      <x:c r="X5" s="87" t="str">
        <x:v>官方附件原文（WCO表未单列归类决定叙述，仅列归类依据）</x:v>
      </x:c>
      <x:c r="Y5" s="89" t="str"/>
      <x:c r="Z5" s="90" t="str">
        <x:v>前缀核对通过：18个候选，需人工映射</x:v>
      </x:c>
      <x:c r="AA5" s="87" t="str">
        <x:v>可入库</x:v>
      </x:c>
    </x:row>
    <x:row r="6" ht="46" customHeight="1">
      <x:c r="A6" s="87" t="n">
        <x:v>2023</x:v>
      </x:c>
      <x:c r="B6" s="87" t="str">
        <x:v>W2023-12</x:v>
      </x:c>
      <x:c r="C6" s="87" t="str">
        <x:v>WCO转化决定(W)</x:v>
      </x:c>
      <x:c r="D6" s="88" t="str">
        <x:v>3305.10</x:v>
      </x:c>
      <x:c r="E6" s="88" t="str">
        <x:v>3305</x:v>
      </x:c>
      <x:c r="F6" s="88" t="str">
        <x:v>330510</x:v>
      </x:c>
      <x:c r="G6" s="88" t="str">
        <x:v>6位</x:v>
      </x:c>
      <x:c r="H6" s="87" t="str">
        <x:v>婴儿皮肤和头发用洗发凝胶</x:v>
      </x:c>
      <x:c r="I6" s="87" t="str">
        <x:v>Shampoo gel for baby’s skin and hair washing</x:v>
      </x:c>
      <x:c r="J6" s="87"/>
      <x:c r="K6" s="87" t="str">
        <x:v>婴儿皮肤和头发用洗发凝胶，含水、有机表面活性剂、氯化钠、香料、柠檬酸、丁二醇、植物提取物和赋形剂。该产品规格为500毫升，零售瓶装。</x:v>
      </x:c>
      <x:c r="L6" s="87"/>
      <x:c r="M6" s="87" t="str">
        <x:v>归类总规则一【第三十四章章注释一（三）】及六</x:v>
      </x:c>
      <x:c r="N6" s="87" t="str">
        <x:v>海关总署公告2023年第94号</x:v>
      </x:c>
      <x:c r="O6" s="87"/>
      <x:c r="P6" s="87"/>
      <x:c r="Q6" s="87" t="str">
        <x:v>未在所附2025失效清单中</x:v>
      </x:c>
      <x:c r="R6" s="87"/>
      <x:c r="S6" s="87" t="str">
        <x:v>A</x:v>
      </x:c>
      <x:c r="T6" s="87" t="str">
        <x:v>用户提供的官方公告附件</x:v>
      </x:c>
      <x:c r="U6" s="87" t="str">
        <x:v>53371691393917063.doc</x:v>
      </x:c>
      <x:c r="V6" s="87"/>
      <x:c r="W6" s="87"/>
      <x:c r="X6" s="87" t="str">
        <x:v>官方附件原文（WCO表未单列归类决定叙述，仅列归类依据）</x:v>
      </x:c>
      <x:c r="Y6" s="89" t="str"/>
      <x:c r="Z6" s="90" t="str">
        <x:v>前缀核对通过：2个候选，需人工映射</x:v>
      </x:c>
      <x:c r="AA6" s="87" t="str">
        <x:v>可入库</x:v>
      </x:c>
    </x:row>
    <x:row r="7" ht="46" customHeight="1">
      <x:c r="A7" s="87" t="n">
        <x:v>2023</x:v>
      </x:c>
      <x:c r="B7" s="87" t="str">
        <x:v>W2023-13</x:v>
      </x:c>
      <x:c r="C7" s="87" t="str">
        <x:v>WCO转化决定(W)</x:v>
      </x:c>
      <x:c r="D7" s="88" t="str">
        <x:v>3305.10</x:v>
      </x:c>
      <x:c r="E7" s="88" t="str">
        <x:v>3305</x:v>
      </x:c>
      <x:c r="F7" s="88" t="str">
        <x:v>330510</x:v>
      </x:c>
      <x:c r="G7" s="88" t="str">
        <x:v>6位</x:v>
      </x:c>
      <x:c r="H7" s="87" t="str">
        <x:v>用作洗发剂、沐浴露和泡泡浴的洗浴产品</x:v>
      </x:c>
      <x:c r="I7" s="87" t="str">
        <x:v>Bathing product for use as shampoo, gel and bath foam</x:v>
      </x:c>
      <x:c r="J7" s="87"/>
      <x:c r="K7" s="87" t="str">
        <x:v>用作洗发剂、沐浴露和泡泡浴的洗浴产品，含水、有机表面活性剂、氯化钠、丙二醇、甘油、植物提取物、柠檬酸、香料、香茅醇和赋形剂。该产品为300毫升零售瓶装。</x:v>
      </x:c>
      <x:c r="L7" s="87"/>
      <x:c r="M7" s="87" t="str">
        <x:v>归类总规则一【第三十四章章注释一（三）】及六</x:v>
      </x:c>
      <x:c r="N7" s="87" t="str">
        <x:v>海关总署公告2023年第94号</x:v>
      </x:c>
      <x:c r="O7" s="87"/>
      <x:c r="P7" s="87"/>
      <x:c r="Q7" s="87" t="str">
        <x:v>未在所附2025失效清单中</x:v>
      </x:c>
      <x:c r="R7" s="87"/>
      <x:c r="S7" s="87" t="str">
        <x:v>A</x:v>
      </x:c>
      <x:c r="T7" s="87" t="str">
        <x:v>用户提供的官方公告附件</x:v>
      </x:c>
      <x:c r="U7" s="87" t="str">
        <x:v>53371691393917063.doc</x:v>
      </x:c>
      <x:c r="V7" s="87"/>
      <x:c r="W7" s="87"/>
      <x:c r="X7" s="87" t="str">
        <x:v>官方附件原文（WCO表未单列归类决定叙述，仅列归类依据）</x:v>
      </x:c>
      <x:c r="Y7" s="89" t="str"/>
      <x:c r="Z7" s="90" t="str">
        <x:v>前缀核对通过：2个候选，需人工映射</x:v>
      </x:c>
      <x:c r="AA7" s="87" t="str">
        <x:v>可入库</x:v>
      </x:c>
    </x:row>
    <x:row r="8" ht="46" customHeight="1">
      <x:c r="A8" s="87" t="n">
        <x:v>2023</x:v>
      </x:c>
      <x:c r="B8" s="87" t="str">
        <x:v>W2023-14</x:v>
      </x:c>
      <x:c r="C8" s="87" t="str">
        <x:v>WCO转化决定(W)</x:v>
      </x:c>
      <x:c r="D8" s="88" t="str">
        <x:v>4404.10</x:v>
      </x:c>
      <x:c r="E8" s="88" t="str">
        <x:v>4404</x:v>
      </x:c>
      <x:c r="F8" s="88" t="str">
        <x:v>440410</x:v>
      </x:c>
      <x:c r="G8" s="88" t="str">
        <x:v>6位</x:v>
      </x:c>
      <x:c r="H8" s="87" t="str">
        <x:v>尖头木桩</x:v>
      </x:c>
      <x:c r="I8" s="87" t="str">
        <x:v>Pointed wooden poles</x:v>
      </x:c>
      <x:c r="J8" s="87"/>
      <x:c r="K8" s="87" t="str">
        <x:v>尖头木桩，松木制，横截面为圆形或半圆形。用于打入地面作各种用途（如形成围栏、支撑植物、拴系动物、标记边界等）。其长度为1至2米，直径为22至25毫米。</x:v>
      </x:c>
      <x:c r="L8" s="87"/>
      <x:c r="M8" s="87" t="str">
        <x:v>归类总规则一及六</x:v>
      </x:c>
      <x:c r="N8" s="87" t="str">
        <x:v>海关总署公告2023年第94号</x:v>
      </x:c>
      <x:c r="O8" s="87"/>
      <x:c r="P8" s="87"/>
      <x:c r="Q8" s="87" t="str">
        <x:v>未在所附2025失效清单中</x:v>
      </x:c>
      <x:c r="R8" s="87"/>
      <x:c r="S8" s="87" t="str">
        <x:v>A</x:v>
      </x:c>
      <x:c r="T8" s="87" t="str">
        <x:v>用户提供的官方公告附件</x:v>
      </x:c>
      <x:c r="U8" s="87" t="str">
        <x:v>53371691393917063.doc</x:v>
      </x:c>
      <x:c r="V8" s="87"/>
      <x:c r="W8" s="87"/>
      <x:c r="X8" s="87" t="str">
        <x:v>官方附件原文（WCO表未单列归类决定叙述，仅列归类依据）</x:v>
      </x:c>
      <x:c r="Y8" s="89" t="str"/>
      <x:c r="Z8" s="90" t="str">
        <x:v>前缀核对通过：2个候选，需人工映射</x:v>
      </x:c>
      <x:c r="AA8" s="87" t="str">
        <x:v>可入库</x:v>
      </x:c>
    </x:row>
    <x:row r="9" ht="46" customHeight="1">
      <x:c r="A9" s="87" t="n">
        <x:v>2023</x:v>
      </x:c>
      <x:c r="B9" s="87" t="str">
        <x:v>W2023-15</x:v>
      </x:c>
      <x:c r="C9" s="87" t="str">
        <x:v>WCO转化决定(W)</x:v>
      </x:c>
      <x:c r="D9" s="88" t="str">
        <x:v>4418.91</x:v>
      </x:c>
      <x:c r="E9" s="88" t="str">
        <x:v>4418</x:v>
      </x:c>
      <x:c r="F9" s="88" t="str">
        <x:v>441891</x:v>
      </x:c>
      <x:c r="G9" s="88" t="str">
        <x:v>6位</x:v>
      </x:c>
      <x:c r="H9" s="87" t="str">
        <x:v>蜂窝结构竹镶板</x:v>
      </x:c>
      <x:c r="I9" s="87" t="str">
        <x:v>Cellular bamboo panels</x:v>
      </x:c>
      <x:c r="J9" s="87"/>
      <x:c r="K9" s="87" t="str">
        <x:v>蜂窝结构竹镶板</x:v>
      </x:c>
      <x:c r="L9" s="87"/>
      <x:c r="M9" s="87" t="str">
        <x:v>归类总规则一、三（一）及六</x:v>
      </x:c>
      <x:c r="N9" s="87" t="str">
        <x:v>海关总署公告2023年第94号</x:v>
      </x:c>
      <x:c r="O9" s="87"/>
      <x:c r="P9" s="87"/>
      <x:c r="Q9" s="87" t="str">
        <x:v>未在所附2025失效清单中</x:v>
      </x:c>
      <x:c r="R9" s="87"/>
      <x:c r="S9" s="87" t="str">
        <x:v>A</x:v>
      </x:c>
      <x:c r="T9" s="87" t="str">
        <x:v>用户提供的官方公告附件</x:v>
      </x:c>
      <x:c r="U9" s="87" t="str">
        <x:v>53371691393917063.doc</x:v>
      </x:c>
      <x:c r="V9" s="87"/>
      <x:c r="W9" s="87"/>
      <x:c r="X9" s="87" t="str">
        <x:v>官方附件原文（WCO表未单列归类决定叙述，仅列归类依据）</x:v>
      </x:c>
      <x:c r="Y9" s="89" t="str"/>
      <x:c r="Z9" s="90" t="str">
        <x:v>前缀核对通过：2个候选，需人工映射</x:v>
      </x:c>
      <x:c r="AA9" s="87" t="str">
        <x:v>可入库</x:v>
      </x:c>
    </x:row>
    <x:row r="10" ht="46" customHeight="1">
      <x:c r="A10" s="87" t="n">
        <x:v>2023</x:v>
      </x:c>
      <x:c r="B10" s="87" t="str">
        <x:v>W2023-16</x:v>
      </x:c>
      <x:c r="C10" s="87" t="str">
        <x:v>WCO转化决定(W)</x:v>
      </x:c>
      <x:c r="D10" s="88" t="str">
        <x:v>4421.99</x:v>
      </x:c>
      <x:c r="E10" s="88" t="str">
        <x:v>4421</x:v>
      </x:c>
      <x:c r="F10" s="88" t="str">
        <x:v>442199</x:v>
      </x:c>
      <x:c r="G10" s="88" t="str">
        <x:v>6位</x:v>
      </x:c>
      <x:c r="H10" s="87" t="str">
        <x:v>尖头木桩</x:v>
      </x:c>
      <x:c r="I10" s="87" t="str">
        <x:v>Pointed wooden poles</x:v>
      </x:c>
      <x:c r="J10" s="87"/>
      <x:c r="K10" s="87" t="str">
        <x:v>尖头木桩，松木制，沿着木材纹理方向锯成方形，用于打入地面作各种用途（如形成围栏、支撑植物、拴系动物、标记边界等）。其长度为1至2米，横截面积尺寸为22×22毫米至25×25毫米。</x:v>
      </x:c>
      <x:c r="L10" s="87"/>
      <x:c r="M10" s="87" t="str">
        <x:v>归类总规则一及六</x:v>
      </x:c>
      <x:c r="N10" s="87" t="str">
        <x:v>海关总署公告2023年第94号</x:v>
      </x:c>
      <x:c r="O10" s="87"/>
      <x:c r="P10" s="87"/>
      <x:c r="Q10" s="87" t="str">
        <x:v>未在所附2025失效清单中</x:v>
      </x:c>
      <x:c r="R10" s="87"/>
      <x:c r="S10" s="87" t="str">
        <x:v>A</x:v>
      </x:c>
      <x:c r="T10" s="87" t="str">
        <x:v>用户提供的官方公告附件</x:v>
      </x:c>
      <x:c r="U10" s="87" t="str">
        <x:v>53371691393917063.doc</x:v>
      </x:c>
      <x:c r="V10" s="87"/>
      <x:c r="W10" s="87"/>
      <x:c r="X10" s="87" t="str">
        <x:v>官方附件原文（WCO表未单列归类决定叙述，仅列归类依据）</x:v>
      </x:c>
      <x:c r="Y10" s="89" t="str"/>
      <x:c r="Z10" s="90" t="str">
        <x:v>前缀核对通过：5个候选，需人工映射</x:v>
      </x:c>
      <x:c r="AA10" s="87" t="str">
        <x:v>可入库</x:v>
      </x:c>
    </x:row>
    <x:row r="11" ht="46" customHeight="1">
      <x:c r="A11" s="87" t="n">
        <x:v>2023</x:v>
      </x:c>
      <x:c r="B11" s="87" t="str">
        <x:v>W2023-17</x:v>
      </x:c>
      <x:c r="C11" s="87" t="str">
        <x:v>WCO转化决定(W)</x:v>
      </x:c>
      <x:c r="D11" s="88" t="str">
        <x:v>6305.39</x:v>
      </x:c>
      <x:c r="E11" s="88" t="str">
        <x:v>6305</x:v>
      </x:c>
      <x:c r="F11" s="88" t="str">
        <x:v>630539</x:v>
      </x:c>
      <x:c r="G11" s="88" t="str">
        <x:v>6位</x:v>
      </x:c>
      <x:c r="H11" s="87" t="str">
        <x:v>被子袋</x:v>
      </x:c>
      <x:c r="I11" s="87" t="str">
        <x:v>Quilt bag</x:v>
      </x:c>
      <x:c r="J11" s="87"/>
      <x:c r="K11" s="87" t="str">
        <x:v>被子袋，正面由透明聚乙烯制成（厚度为0.10毫米），其他各面由人造纤维无纺织物（65克/平方米）制成，装有拉链、提手，并以无纺织物（75克/平方米）镶边，用于包装被子供出售。</x:v>
      </x:c>
      <x:c r="L11" s="87"/>
      <x:c r="M11" s="87" t="str">
        <x:v>归类总规则一及六</x:v>
      </x:c>
      <x:c r="N11" s="87" t="str">
        <x:v>海关总署公告2023年第94号</x:v>
      </x:c>
      <x:c r="O11" s="87"/>
      <x:c r="P11" s="87"/>
      <x:c r="Q11" s="87" t="str">
        <x:v>未在所附2025失效清单中</x:v>
      </x:c>
      <x:c r="R11" s="87"/>
      <x:c r="S11" s="87" t="str">
        <x:v>A</x:v>
      </x:c>
      <x:c r="T11" s="87" t="str">
        <x:v>用户提供的官方公告附件</x:v>
      </x:c>
      <x:c r="U11" s="87" t="str">
        <x:v>53371691393917063.doc</x:v>
      </x:c>
      <x:c r="V11" s="87"/>
      <x:c r="W11" s="87"/>
      <x:c r="X11" s="87" t="str">
        <x:v>官方附件原文（WCO表未单列归类决定叙述，仅列归类依据）</x:v>
      </x:c>
      <x:c r="Y11" s="89" t="str">
        <x:v>6305390000</x:v>
      </x:c>
      <x:c r="Z11" s="90" t="str">
        <x:v>前缀核对通过：唯一候选，待业务确认</x:v>
      </x:c>
      <x:c r="AA11" s="87" t="str">
        <x:v>可入库</x:v>
      </x:c>
    </x:row>
    <x:row r="12" ht="46" customHeight="1">
      <x:c r="A12" s="87" t="n">
        <x:v>2023</x:v>
      </x:c>
      <x:c r="B12" s="87" t="str">
        <x:v>W2023-18</x:v>
      </x:c>
      <x:c r="C12" s="87" t="str">
        <x:v>WCO转化决定(W)</x:v>
      </x:c>
      <x:c r="D12" s="88" t="str">
        <x:v>7004.90</x:v>
      </x:c>
      <x:c r="E12" s="88" t="str">
        <x:v>7004</x:v>
      </x:c>
      <x:c r="F12" s="88" t="str">
        <x:v>700490</x:v>
      </x:c>
      <x:c r="G12" s="88" t="str">
        <x:v>6位</x:v>
      </x:c>
      <x:c r="H12" s="87" t="str">
        <x:v>溢流法制平板玻璃</x:v>
      </x:c>
      <x:c r="I12" s="87" t="str">
        <x:v>Overflow fusion glass plate</x:v>
      </x:c>
      <x:c r="J12" s="87"/>
      <x:c r="K12" s="87" t="str">
        <x:v>溢流法制平板玻璃，是一种超薄的、光滑的、均匀的玻璃板，用于保护移动设备例如平板电脑、智能手机和其他电子设备的屏幕。该产品生产过程：将均匀搅拌的熔融玻璃浇注到一个称为“保温管”的V形槽中，直至其溢出，沿槽外侧形成两股均匀的熔融玻璃液，两股玻璃液在槽底部重新汇合。玻璃片基于重力的作用形成后，经与空气接触冷却，再切割至所需尺寸后包装。</x:v>
      </x:c>
      <x:c r="L12" s="87"/>
      <x:c r="M12" s="87" t="str">
        <x:v>归类总规则一、四及六</x:v>
      </x:c>
      <x:c r="N12" s="87" t="str">
        <x:v>海关总署公告2023年第94号</x:v>
      </x:c>
      <x:c r="O12" s="87"/>
      <x:c r="P12" s="87"/>
      <x:c r="Q12" s="87" t="str">
        <x:v>未在所附2025失效清单中</x:v>
      </x:c>
      <x:c r="R12" s="87"/>
      <x:c r="S12" s="87" t="str">
        <x:v>A</x:v>
      </x:c>
      <x:c r="T12" s="87" t="str">
        <x:v>用户提供的官方公告附件</x:v>
      </x:c>
      <x:c r="U12" s="87" t="str">
        <x:v>53371691393917063.doc</x:v>
      </x:c>
      <x:c r="V12" s="87"/>
      <x:c r="W12" s="87"/>
      <x:c r="X12" s="87" t="str">
        <x:v>官方附件原文（WCO表未单列归类决定叙述，仅列归类依据）</x:v>
      </x:c>
      <x:c r="Y12" s="89" t="str"/>
      <x:c r="Z12" s="90" t="str">
        <x:v>前缀核对通过：4个候选，需人工映射</x:v>
      </x:c>
      <x:c r="AA12" s="87" t="str">
        <x:v>可入库</x:v>
      </x:c>
    </x:row>
    <x:row r="13" ht="46" customHeight="1">
      <x:c r="A13" s="87" t="n">
        <x:v>2023</x:v>
      </x:c>
      <x:c r="B13" s="87" t="str">
        <x:v>W2023-19</x:v>
      </x:c>
      <x:c r="C13" s="87" t="str">
        <x:v>WCO转化决定(W)</x:v>
      </x:c>
      <x:c r="D13" s="88" t="str">
        <x:v>7010.20</x:v>
      </x:c>
      <x:c r="E13" s="88" t="str">
        <x:v>7010</x:v>
      </x:c>
      <x:c r="F13" s="88" t="str">
        <x:v>701020</x:v>
      </x:c>
      <x:c r="G13" s="88" t="str">
        <x:v>6位</x:v>
      </x:c>
      <x:c r="H13" s="87" t="str">
        <x:v>耐热玻璃盖</x:v>
      </x:c>
      <x:c r="I13" s="87" t="str">
        <x:v>Heat-resistant glass lids</x:v>
      </x:c>
      <x:c r="J13" s="87"/>
      <x:c r="K13" s="87" t="str">
        <x:v>耐热玻璃盖，把手可为多种材质，可带有蒸汽喷口和不锈钢边缘，同一盖子可用于平底锅或煎锅，用于防灰尘或减少食物的水分蒸发。该产品单独报验，未与厨具一起报验。</x:v>
      </x:c>
      <x:c r="L13" s="87"/>
      <x:c r="M13" s="87" t="str">
        <x:v>归类总规则一及六</x:v>
      </x:c>
      <x:c r="N13" s="87" t="str">
        <x:v>海关总署公告2023年第94号</x:v>
      </x:c>
      <x:c r="O13" s="87"/>
      <x:c r="P13" s="87"/>
      <x:c r="Q13" s="87" t="str">
        <x:v>未在所附2025失效清单中</x:v>
      </x:c>
      <x:c r="R13" s="87"/>
      <x:c r="S13" s="87" t="str">
        <x:v>A</x:v>
      </x:c>
      <x:c r="T13" s="87" t="str">
        <x:v>用户提供的官方公告附件</x:v>
      </x:c>
      <x:c r="U13" s="87" t="str">
        <x:v>53371691393917063.doc</x:v>
      </x:c>
      <x:c r="V13" s="87"/>
      <x:c r="W13" s="87"/>
      <x:c r="X13" s="87" t="str">
        <x:v>官方附件原文（WCO表未单列归类决定叙述，仅列归类依据）</x:v>
      </x:c>
      <x:c r="Y13" s="89" t="str">
        <x:v>7010200000</x:v>
      </x:c>
      <x:c r="Z13" s="90" t="str">
        <x:v>前缀核对通过：唯一候选，待业务确认</x:v>
      </x:c>
      <x:c r="AA13" s="87" t="str">
        <x:v>可入库</x:v>
      </x:c>
    </x:row>
    <x:row r="14" ht="46" customHeight="1">
      <x:c r="A14" s="87" t="n">
        <x:v>2023</x:v>
      </x:c>
      <x:c r="B14" s="87" t="str">
        <x:v>W2023-2</x:v>
      </x:c>
      <x:c r="C14" s="87" t="str">
        <x:v>WCO转化决定(W)</x:v>
      </x:c>
      <x:c r="D14" s="88" t="str">
        <x:v>2106.10</x:v>
      </x:c>
      <x:c r="E14" s="88" t="str">
        <x:v>2106</x:v>
      </x:c>
      <x:c r="F14" s="88" t="str">
        <x:v>210610</x:v>
      </x:c>
      <x:c r="G14" s="88" t="str">
        <x:v>6位</x:v>
      </x:c>
      <x:c r="H14" s="87" t="str">
        <x:v>粉状食品配制品</x:v>
      </x:c>
      <x:c r="I14" s="87" t="str">
        <x:v>Food preparation in powder form</x:v>
      </x:c>
      <x:c r="J14" s="87"/>
      <x:c r="K14" s="87" t="str">
        <x:v>粉状食品配制品，含有大豆离析蛋白（93.425 %）、乳清蛋白浓缩物（含卵磷脂及80%乳清蛋白）（6.125%）、调味物质（香草奶油）和二氧化硅。</x:v>
      </x:c>
      <x:c r="L14" s="87"/>
      <x:c r="M14" s="87" t="str">
        <x:v>归类总规则一及六</x:v>
      </x:c>
      <x:c r="N14" s="87" t="str">
        <x:v>海关总署公告2023年第94号</x:v>
      </x:c>
      <x:c r="O14" s="87"/>
      <x:c r="P14" s="87"/>
      <x:c r="Q14" s="87" t="str">
        <x:v>未在所附2025失效清单中</x:v>
      </x:c>
      <x:c r="R14" s="87"/>
      <x:c r="S14" s="87" t="str">
        <x:v>A</x:v>
      </x:c>
      <x:c r="T14" s="87" t="str">
        <x:v>用户提供的官方公告附件</x:v>
      </x:c>
      <x:c r="U14" s="87" t="str">
        <x:v>53371691393917063.doc</x:v>
      </x:c>
      <x:c r="V14" s="87"/>
      <x:c r="W14" s="87"/>
      <x:c r="X14" s="87" t="str">
        <x:v>官方附件原文（WCO表未单列归类决定叙述，仅列归类依据）</x:v>
      </x:c>
      <x:c r="Y14" s="89" t="str">
        <x:v>2106100000</x:v>
      </x:c>
      <x:c r="Z14" s="90" t="str">
        <x:v>前缀核对通过：唯一候选，待业务确认</x:v>
      </x:c>
      <x:c r="AA14" s="87" t="str">
        <x:v>可入库</x:v>
      </x:c>
    </x:row>
    <x:row r="15" ht="46" customHeight="1">
      <x:c r="A15" s="87" t="n">
        <x:v>2023</x:v>
      </x:c>
      <x:c r="B15" s="87" t="str">
        <x:v>W2023-20</x:v>
      </x:c>
      <x:c r="C15" s="87" t="str">
        <x:v>WCO转化决定(W)</x:v>
      </x:c>
      <x:c r="D15" s="88" t="str">
        <x:v>8432.80</x:v>
      </x:c>
      <x:c r="E15" s="88" t="str">
        <x:v>8432</x:v>
      </x:c>
      <x:c r="F15" s="88" t="str">
        <x:v>843280</x:v>
      </x:c>
      <x:c r="G15" s="88" t="str">
        <x:v>6位</x:v>
      </x:c>
      <x:c r="H15" s="87" t="str">
        <x:v>多地形土壤切割机或松土机</x:v>
      </x:c>
      <x:c r="I15" s="87" t="str">
        <x:v>Multi-terrain soil cutter/ripper</x:v>
      </x:c>
      <x:c r="J15" s="87"/>
      <x:c r="K15" s="87" t="str">
        <x:v>由装配有148个可更换的硬质合金刀具的转子（直径600毫米，宽度3150毫米）、一个安全离合器和一个在平整和压实被破碎材料的同时提供支撑的后滚筒组成。该产品由拖拉机牵引，通过提供操作液压和机械动力的耦合装置连接至拖拉机，底土工作深度为300毫米。其尺寸为：长2385毫米，宽3500毫米，高1400毫米。该产品主要用于清理农田和森林及准备种植土壤，还可用于清理建筑工地、维护森林或农场的道路，以及破碎或清除道路上的冰。A 驱动器 B 安全离合器 C 前护罩 D 变速箱E 刀具 F 压实辊 G 后护罩</x:v>
      </x:c>
      <x:c r="L15" s="87"/>
      <x:c r="M15" s="87" t="str">
        <x:v>归类总规则一（第八十四章注释八）及六</x:v>
      </x:c>
      <x:c r="N15" s="87" t="str">
        <x:v>海关总署公告2023年第94号</x:v>
      </x:c>
      <x:c r="O15" s="87"/>
      <x:c r="P15" s="87"/>
      <x:c r="Q15" s="87" t="str">
        <x:v>未在所附2025失效清单中</x:v>
      </x:c>
      <x:c r="R15" s="87"/>
      <x:c r="S15" s="87" t="str">
        <x:v>A</x:v>
      </x:c>
      <x:c r="T15" s="87" t="str">
        <x:v>用户提供的官方公告附件</x:v>
      </x:c>
      <x:c r="U15" s="87" t="str">
        <x:v>53371691393917063.doc</x:v>
      </x:c>
      <x:c r="V15" s="87"/>
      <x:c r="W15" s="87"/>
      <x:c r="X15" s="87" t="str">
        <x:v>官方附件原文（WCO表未单列归类决定叙述，仅列归类依据）</x:v>
      </x:c>
      <x:c r="Y15" s="89" t="str"/>
      <x:c r="Z15" s="90" t="str">
        <x:v>前缀核对通过：2个候选，需人工映射</x:v>
      </x:c>
      <x:c r="AA15" s="87" t="str">
        <x:v>可入库</x:v>
      </x:c>
    </x:row>
    <x:row r="16" ht="46" customHeight="1">
      <x:c r="A16" s="87" t="n">
        <x:v>2023</x:v>
      </x:c>
      <x:c r="B16" s="87" t="str">
        <x:v>W2023-21</x:v>
      </x:c>
      <x:c r="C16" s="87" t="str">
        <x:v>WCO转化决定(W)</x:v>
      </x:c>
      <x:c r="D16" s="88" t="str">
        <x:v>8539.51</x:v>
      </x:c>
      <x:c r="E16" s="88" t="str">
        <x:v>8539</x:v>
      </x:c>
      <x:c r="F16" s="88" t="str">
        <x:v>853951</x:v>
      </x:c>
      <x:c r="G16" s="88" t="str">
        <x:v>6位</x:v>
      </x:c>
      <x:c r="H16" s="87" t="str">
        <x:v>灯带</x:v>
      </x:c>
      <x:c r="I16" s="87" t="str">
        <x:v>Tape lights</x:v>
      </x:c>
      <x:c r="J16" s="87"/>
      <x:c r="K16" s="87" t="str">
        <x:v>灯带为24V室内用柔性LED带状灯，1.3W，冷白光。该灯带为可链接的模块化照明产品的单元模块，由18颗沿灯带长度方向排列的发光二极管（LED）组成。灯带的发光二极管（LED）连接在印刷电路板（PCB）上。沿灯带每隔102毫米（4英寸）有一个用以消除电压下降的恒流驱动器和一个内置连接器。灯带最大连接数量为50节，也可按每102毫米（4英寸）为单元切割成自定义长度。该商品报验时不带为其供电的24V驱动器或硬线盒，可用于如橱柜、背光区域和难以触及区域的工作照明和重点照明。</x:v>
      </x:c>
      <x:c r="L16" s="87"/>
      <x:c r="M16" s="87" t="str">
        <x:v>归类总规则一【第八十五章注释十一（一）和第九十四章注释一（六）】及六</x:v>
      </x:c>
      <x:c r="N16" s="87" t="str">
        <x:v>海关总署公告2023年第94号</x:v>
      </x:c>
      <x:c r="O16" s="87"/>
      <x:c r="P16" s="87"/>
      <x:c r="Q16" s="87" t="str">
        <x:v>未在所附2025失效清单中</x:v>
      </x:c>
      <x:c r="R16" s="87"/>
      <x:c r="S16" s="87" t="str">
        <x:v>A</x:v>
      </x:c>
      <x:c r="T16" s="87" t="str">
        <x:v>用户提供的官方公告附件</x:v>
      </x:c>
      <x:c r="U16" s="87" t="str">
        <x:v>53371691393917063.doc</x:v>
      </x:c>
      <x:c r="V16" s="87"/>
      <x:c r="W16" s="87"/>
      <x:c r="X16" s="87" t="str">
        <x:v>官方附件原文（WCO表未单列归类决定叙述，仅列归类依据）</x:v>
      </x:c>
      <x:c r="Y16" s="89" t="str">
        <x:v>8539510000</x:v>
      </x:c>
      <x:c r="Z16" s="90" t="str">
        <x:v>前缀核对通过：唯一候选，待业务确认</x:v>
      </x:c>
      <x:c r="AA16" s="87" t="str">
        <x:v>可入库</x:v>
      </x:c>
    </x:row>
    <x:row r="17" ht="46" customHeight="1">
      <x:c r="A17" s="87" t="n">
        <x:v>2023</x:v>
      </x:c>
      <x:c r="B17" s="87" t="str">
        <x:v>W2023-22</x:v>
      </x:c>
      <x:c r="C17" s="87" t="str">
        <x:v>WCO转化决定(W)</x:v>
      </x:c>
      <x:c r="D17" s="88" t="str">
        <x:v>8703.22</x:v>
      </x:c>
      <x:c r="E17" s="88" t="str">
        <x:v>8703</x:v>
      </x:c>
      <x:c r="F17" s="88" t="str">
        <x:v>870322</x:v>
      </x:c>
      <x:c r="G17" s="88" t="str">
        <x:v>6位</x:v>
      </x:c>
      <x:c r="H17" s="87" t="str">
        <x:v>轻度混合动力车</x:v>
      </x:c>
      <x:c r="I17" s="87" t="str">
        <x:v>Vehicle called a “mild hybrid”</x:v>
      </x:c>
      <x:c r="J17" s="87"/>
      <x:c r="K17" s="87" t="str">
        <x:v>轻度混合动力车，配备1.5升涡轮增压四缸火花点火发动机，输出功率135千瓦，扭矩280牛米。配备一个启动器/发电机，可以提高发动机额外10千瓦的输出功率和160牛米的扭矩，并且提供更平稳的发动机启停操作和能量回收期间滑行。这款车没有专属的电动驾驶模式，并且不能通过插入外部电源充电。</x:v>
      </x:c>
      <x:c r="L17" s="87"/>
      <x:c r="M17" s="87" t="str">
        <x:v>归类总规则一及六</x:v>
      </x:c>
      <x:c r="N17" s="87" t="str">
        <x:v>海关总署公告2023年第94号</x:v>
      </x:c>
      <x:c r="O17" s="87"/>
      <x:c r="P17" s="87"/>
      <x:c r="Q17" s="87" t="str">
        <x:v>未在所附2025失效清单中</x:v>
      </x:c>
      <x:c r="R17" s="87"/>
      <x:c r="S17" s="87" t="str">
        <x:v>A</x:v>
      </x:c>
      <x:c r="T17" s="87" t="str">
        <x:v>用户提供的官方公告附件</x:v>
      </x:c>
      <x:c r="U17" s="87" t="str">
        <x:v>53371691393917063.doc</x:v>
      </x:c>
      <x:c r="V17" s="87"/>
      <x:c r="W17" s="87"/>
      <x:c r="X17" s="87" t="str">
        <x:v>官方附件原文（WCO表未单列归类决定叙述，仅列归类依据）</x:v>
      </x:c>
      <x:c r="Y17" s="89" t="str"/>
      <x:c r="Z17" s="90" t="str">
        <x:v>前缀核对通过：8个候选，需人工映射</x:v>
      </x:c>
      <x:c r="AA17" s="87" t="str">
        <x:v>可入库</x:v>
      </x:c>
    </x:row>
    <x:row r="18" ht="46" customHeight="1">
      <x:c r="A18" s="87" t="n">
        <x:v>2023</x:v>
      </x:c>
      <x:c r="B18" s="87" t="str">
        <x:v>W2023-23</x:v>
      </x:c>
      <x:c r="C18" s="87" t="str">
        <x:v>WCO转化决定(W)</x:v>
      </x:c>
      <x:c r="D18" s="88" t="str">
        <x:v>9032.89</x:v>
      </x:c>
      <x:c r="E18" s="88" t="str">
        <x:v>9032</x:v>
      </x:c>
      <x:c r="F18" s="88" t="str">
        <x:v>903289</x:v>
      </x:c>
      <x:c r="G18" s="88" t="str">
        <x:v>6位</x:v>
      </x:c>
      <x:c r="H18" s="87" t="str">
        <x:v>电子变频器</x:v>
      </x:c>
      <x:c r="I18" s="87" t="str">
        <x:v>Electronic frequency inverter</x:v>
      </x:c>
      <x:c r="J18" s="87"/>
      <x:c r="K18" s="87" t="str">
        <x:v>电子变频器，其主要功能是自动控制三相异步电动机的电子速度，扭矩或位置。该产品被设计安装在电气柜中，且用途广泛。该产品有一个外壳，尺寸大小取决于其功率，组成部分包括一块用于实时测量驱动轴的速度、位置或扭矩的卡，一块控制卡，一个电源电路单元或功率单元，一个交互界面，一个控制/命令端口模块，一个通信端口，一个电源端口模块和一个可选的存储卡插槽。</x:v>
      </x:c>
      <x:c r="L18" s="87"/>
      <x:c r="M18" s="87" t="str">
        <x:v>归类总规则一及六</x:v>
      </x:c>
      <x:c r="N18" s="87" t="str">
        <x:v>海关总署公告2023年第94号</x:v>
      </x:c>
      <x:c r="O18" s="87"/>
      <x:c r="P18" s="87"/>
      <x:c r="Q18" s="87" t="str">
        <x:v>未在所附2025失效清单中</x:v>
      </x:c>
      <x:c r="R18" s="87"/>
      <x:c r="S18" s="87" t="str">
        <x:v>A</x:v>
      </x:c>
      <x:c r="T18" s="87" t="str">
        <x:v>用户提供的官方公告附件</x:v>
      </x:c>
      <x:c r="U18" s="87" t="str">
        <x:v>53371691393917063.doc</x:v>
      </x:c>
      <x:c r="V18" s="87"/>
      <x:c r="W18" s="87"/>
      <x:c r="X18" s="87" t="str">
        <x:v>官方附件原文（WCO表未单列归类决定叙述，仅列归类依据）</x:v>
      </x:c>
      <x:c r="Y18" s="89" t="str"/>
      <x:c r="Z18" s="90" t="str">
        <x:v>前缀核对通过：15个候选，需人工映射</x:v>
      </x:c>
      <x:c r="AA18" s="87" t="str">
        <x:v>可入库</x:v>
      </x:c>
    </x:row>
    <x:row r="19" ht="46" customHeight="1">
      <x:c r="A19" s="87" t="n">
        <x:v>2023</x:v>
      </x:c>
      <x:c r="B19" s="87" t="str">
        <x:v>W2023-24</x:v>
      </x:c>
      <x:c r="C19" s="87" t="str">
        <x:v>WCO转化决定(W)</x:v>
      </x:c>
      <x:c r="D19" s="88" t="str">
        <x:v>9405.42</x:v>
      </x:c>
      <x:c r="E19" s="88" t="str">
        <x:v>9405</x:v>
      </x:c>
      <x:c r="F19" s="88" t="str">
        <x:v>940542</x:v>
      </x:c>
      <x:c r="G19" s="88" t="str">
        <x:v>6位</x:v>
      </x:c>
      <x:c r="H19" s="87" t="str">
        <x:v>描画灯箱</x:v>
      </x:c>
      <x:c r="I19" s="87" t="str">
        <x:v>Tracing light box</x:v>
      </x:c>
      <x:c r="J19" s="87"/>
      <x:c r="K19" s="87" t="str">
        <x:v>描画灯箱，由外壳为塑料的电池供电的LED灯箱组成。该灯箱的led光通过半透明的LED灯罩照亮放置在纸张下面的原始图像，可使使用者准确地描画纸上显现的图像的轮廓。该产品表面没有任何网格或图案，也不带任何辅助绘图的附件。可以用于绘画、描摹、剪贴或书法、丝印、刺绣、羽毛笔等创意活动，也可用于观看幻灯片或底片。箱体尺寸为250毫米×340毫米×25毫米。</x:v>
      </x:c>
      <x:c r="L19" s="87"/>
      <x:c r="M19" s="87" t="str">
        <x:v>归类总规则一及六</x:v>
      </x:c>
      <x:c r="N19" s="87" t="str">
        <x:v>海关总署公告2023年第94号</x:v>
      </x:c>
      <x:c r="O19" s="87"/>
      <x:c r="P19" s="87"/>
      <x:c r="Q19" s="87" t="str">
        <x:v>未在所附2025失效清单中</x:v>
      </x:c>
      <x:c r="R19" s="87"/>
      <x:c r="S19" s="87" t="str">
        <x:v>A</x:v>
      </x:c>
      <x:c r="T19" s="87" t="str">
        <x:v>用户提供的官方公告附件</x:v>
      </x:c>
      <x:c r="U19" s="87" t="str">
        <x:v>53371691393917063.doc</x:v>
      </x:c>
      <x:c r="V19" s="87"/>
      <x:c r="W19" s="87"/>
      <x:c r="X19" s="87" t="str">
        <x:v>官方附件原文（WCO表未单列归类决定叙述，仅列归类依据）</x:v>
      </x:c>
      <x:c r="Y19" s="89" t="str"/>
      <x:c r="Z19" s="90" t="str">
        <x:v>前缀核对通过：2个候选，需人工映射</x:v>
      </x:c>
      <x:c r="AA19" s="87" t="str">
        <x:v>可入库</x:v>
      </x:c>
    </x:row>
    <x:row r="20" ht="46" customHeight="1">
      <x:c r="A20" s="87" t="n">
        <x:v>2023</x:v>
      </x:c>
      <x:c r="B20" s="87" t="str">
        <x:v>W2023-3</x:v>
      </x:c>
      <x:c r="C20" s="87" t="str">
        <x:v>WCO转化决定(W)</x:v>
      </x:c>
      <x:c r="D20" s="88" t="str">
        <x:v>2304.00</x:v>
      </x:c>
      <x:c r="E20" s="88" t="str">
        <x:v>2304</x:v>
      </x:c>
      <x:c r="F20" s="88" t="str">
        <x:v>230400</x:v>
      </x:c>
      <x:c r="G20" s="88" t="str">
        <x:v>6位</x:v>
      </x:c>
      <x:c r="H20" s="87" t="str">
        <x:v>大豆片</x:v>
      </x:c>
      <x:c r="I20" s="87" t="str">
        <x:v>Soya-bean flakes</x:v>
      </x:c>
      <x:c r="J20" s="87"/>
      <x:c r="K20" s="87" t="str">
        <x:v>大豆片，已脱脂、未烘焙、未进行组织化处理。</x:v>
      </x:c>
      <x:c r="L20" s="87"/>
      <x:c r="M20" s="87" t="str">
        <x:v>归类总规则一</x:v>
      </x:c>
      <x:c r="N20" s="87" t="str">
        <x:v>海关总署公告2023年第94号</x:v>
      </x:c>
      <x:c r="O20" s="87"/>
      <x:c r="P20" s="87"/>
      <x:c r="Q20" s="87" t="str">
        <x:v>未在所附2025失效清单中</x:v>
      </x:c>
      <x:c r="R20" s="87"/>
      <x:c r="S20" s="87" t="str">
        <x:v>A</x:v>
      </x:c>
      <x:c r="T20" s="87" t="str">
        <x:v>用户提供的官方公告附件</x:v>
      </x:c>
      <x:c r="U20" s="87" t="str">
        <x:v>53371691393917063.doc</x:v>
      </x:c>
      <x:c r="V20" s="87"/>
      <x:c r="W20" s="87"/>
      <x:c r="X20" s="87" t="str">
        <x:v>官方附件原文（WCO表未单列归类决定叙述，仅列归类依据）</x:v>
      </x:c>
      <x:c r="Y20" s="89" t="str"/>
      <x:c r="Z20" s="90" t="str">
        <x:v>前缀核对通过：2个候选，需人工映射</x:v>
      </x:c>
      <x:c r="AA20" s="87" t="str">
        <x:v>可入库</x:v>
      </x:c>
    </x:row>
    <x:row r="21" ht="46" customHeight="1">
      <x:c r="A21" s="87" t="n">
        <x:v>2023</x:v>
      </x:c>
      <x:c r="B21" s="87" t="str">
        <x:v>W2023-4</x:v>
      </x:c>
      <x:c r="C21" s="87" t="str">
        <x:v>WCO转化决定(W)</x:v>
      </x:c>
      <x:c r="D21" s="88" t="str">
        <x:v>2403.99</x:v>
      </x:c>
      <x:c r="E21" s="88" t="str">
        <x:v>2403</x:v>
      </x:c>
      <x:c r="F21" s="88" t="str">
        <x:v>240399</x:v>
      </x:c>
      <x:c r="G21" s="88" t="str">
        <x:v>6位</x:v>
      </x:c>
      <x:c r="H21" s="87" t="str">
        <x:v>一次性口服尼古丁包</x:v>
      </x:c>
      <x:c r="I21" s="87" t="str">
        <x:v>Single-use oral nicotine pouches</x:v>
      </x:c>
      <x:c r="J21" s="87"/>
      <x:c r="K21" s="87" t="str">
        <x:v>一次性口服尼古丁包，含有烟草、药物级尼古丁、水和其他食品级成分，该产品包括桉树和松树纤维、香料和甜味剂。使用时将小包尼古丁放在牙龈和上唇之间。在使用过程中，产品会释放尼古丁和香料，只有尼古丁会通过牙龈的口腔粘膜被吸收。产品不具有辅助戒烟用途。</x:v>
      </x:c>
      <x:c r="L21" s="87"/>
      <x:c r="M21" s="87" t="str">
        <x:v>归类总规则一及六</x:v>
      </x:c>
      <x:c r="N21" s="87" t="str">
        <x:v>海关总署公告2023年第94号</x:v>
      </x:c>
      <x:c r="O21" s="87"/>
      <x:c r="P21" s="87"/>
      <x:c r="Q21" s="87" t="str">
        <x:v>未在所附2025失效清单中</x:v>
      </x:c>
      <x:c r="R21" s="87"/>
      <x:c r="S21" s="87" t="str">
        <x:v>A</x:v>
      </x:c>
      <x:c r="T21" s="87" t="str">
        <x:v>用户提供的官方公告附件</x:v>
      </x:c>
      <x:c r="U21" s="87" t="str">
        <x:v>53371691393917063.doc</x:v>
      </x:c>
      <x:c r="V21" s="87"/>
      <x:c r="W21" s="87"/>
      <x:c r="X21" s="87" t="str">
        <x:v>官方附件原文（WCO表未单列归类决定叙述，仅列归类依据）</x:v>
      </x:c>
      <x:c r="Y21" s="89" t="str"/>
      <x:c r="Z21" s="90" t="str">
        <x:v>前缀核对通过：2个候选，需人工映射</x:v>
      </x:c>
      <x:c r="AA21" s="87" t="str">
        <x:v>可入库</x:v>
      </x:c>
    </x:row>
    <x:row r="22" ht="46" customHeight="1">
      <x:c r="A22" s="87" t="n">
        <x:v>2023</x:v>
      </x:c>
      <x:c r="B22" s="87" t="str">
        <x:v>W2023-5</x:v>
      </x:c>
      <x:c r="C22" s="87" t="str">
        <x:v>WCO转化决定(W)</x:v>
      </x:c>
      <x:c r="D22" s="88" t="str">
        <x:v>2403.99</x:v>
      </x:c>
      <x:c r="E22" s="88" t="str">
        <x:v>2403</x:v>
      </x:c>
      <x:c r="F22" s="88" t="str">
        <x:v>240399</x:v>
      </x:c>
      <x:c r="G22" s="88" t="str">
        <x:v>6位</x:v>
      </x:c>
      <x:c r="H22" s="87" t="str">
        <x:v>鼻烟</x:v>
      </x:c>
      <x:c r="I22" s="87" t="str">
        <x:v>Nasal Snuff</x:v>
      </x:c>
      <x:c r="J22" s="87"/>
      <x:c r="K22" s="87" t="str">
        <x:v>鼻烟，由磨碎的烟叶和各种香料（如薄荷、柑橘和桉树成分）制成。尼古丁和香料气味由鼻腔吸入。</x:v>
      </x:c>
      <x:c r="L22" s="87"/>
      <x:c r="M22" s="87" t="str">
        <x:v>归类总规则一及六</x:v>
      </x:c>
      <x:c r="N22" s="87" t="str">
        <x:v>海关总署公告2023年第94号</x:v>
      </x:c>
      <x:c r="O22" s="87"/>
      <x:c r="P22" s="87"/>
      <x:c r="Q22" s="87" t="str">
        <x:v>未在所附2025失效清单中</x:v>
      </x:c>
      <x:c r="R22" s="87"/>
      <x:c r="S22" s="87" t="str">
        <x:v>A</x:v>
      </x:c>
      <x:c r="T22" s="87" t="str">
        <x:v>用户提供的官方公告附件</x:v>
      </x:c>
      <x:c r="U22" s="87" t="str">
        <x:v>53371691393917063.doc</x:v>
      </x:c>
      <x:c r="V22" s="87"/>
      <x:c r="W22" s="87"/>
      <x:c r="X22" s="87" t="str">
        <x:v>官方附件原文（WCO表未单列归类决定叙述，仅列归类依据）</x:v>
      </x:c>
      <x:c r="Y22" s="89" t="str"/>
      <x:c r="Z22" s="90" t="str">
        <x:v>前缀核对通过：2个候选，需人工映射</x:v>
      </x:c>
      <x:c r="AA22" s="87" t="str">
        <x:v>可入库</x:v>
      </x:c>
    </x:row>
    <x:row r="23" ht="46" customHeight="1">
      <x:c r="A23" s="87" t="n">
        <x:v>2023</x:v>
      </x:c>
      <x:c r="B23" s="87" t="str">
        <x:v>W2023-6</x:v>
      </x:c>
      <x:c r="C23" s="87" t="str">
        <x:v>WCO转化决定(W)</x:v>
      </x:c>
      <x:c r="D23" s="88" t="str">
        <x:v>2404.12</x:v>
      </x:c>
      <x:c r="E23" s="88" t="str">
        <x:v>2404</x:v>
      </x:c>
      <x:c r="F23" s="88" t="str">
        <x:v>240412</x:v>
      </x:c>
      <x:c r="G23" s="88" t="str">
        <x:v>6位</x:v>
      </x:c>
      <x:c r="H23" s="87" t="str">
        <x:v>尼古丁吸入器</x:v>
      </x:c>
      <x:c r="I23" s="87" t="str">
        <x:v>Inhaler</x:v>
      </x:c>
      <x:c r="J23" s="87"/>
      <x:c r="K23" s="87" t="str">
        <x:v>尼古丁吸入器，每支烟弹含10毫克尼古丁。该产品是用于戒烟的处方物品。烟弹内装有含饱和尼古丁的多孔塞，它不需加热，使用者在吸入器末端的塑料管上吸气，以激活烟弹并吸出气体。释放的尼古丁通过使用者口腔和喉咙的粘膜吸收。每支烟弹可使用约20分钟，其释放的尼古丁量与一支香烟大致相同。</x:v>
      </x:c>
      <x:c r="L23" s="87"/>
      <x:c r="M23" s="87" t="str">
        <x:v>归类总规则一及六</x:v>
      </x:c>
      <x:c r="N23" s="87" t="str">
        <x:v>海关总署公告2023年第94号</x:v>
      </x:c>
      <x:c r="O23" s="87"/>
      <x:c r="P23" s="87"/>
      <x:c r="Q23" s="87" t="str">
        <x:v>未在所附2025失效清单中</x:v>
      </x:c>
      <x:c r="R23" s="87"/>
      <x:c r="S23" s="87" t="str">
        <x:v>A</x:v>
      </x:c>
      <x:c r="T23" s="87" t="str">
        <x:v>用户提供的官方公告附件</x:v>
      </x:c>
      <x:c r="U23" s="87" t="str">
        <x:v>53371691393917063.doc</x:v>
      </x:c>
      <x:c r="V23" s="87"/>
      <x:c r="W23" s="87"/>
      <x:c r="X23" s="87" t="str">
        <x:v>官方附件原文（WCO表未单列归类决定叙述，仅列归类依据）</x:v>
      </x:c>
      <x:c r="Y23" s="89" t="str">
        <x:v>2404120000</x:v>
      </x:c>
      <x:c r="Z23" s="90" t="str">
        <x:v>前缀核对通过：唯一候选，待业务确认</x:v>
      </x:c>
      <x:c r="AA23" s="87" t="str">
        <x:v>可入库</x:v>
      </x:c>
    </x:row>
    <x:row r="24" ht="46" customHeight="1">
      <x:c r="A24" s="87" t="n">
        <x:v>2023</x:v>
      </x:c>
      <x:c r="B24" s="87" t="str">
        <x:v>W2023-7</x:v>
      </x:c>
      <x:c r="C24" s="87" t="str">
        <x:v>WCO转化决定(W)</x:v>
      </x:c>
      <x:c r="D24" s="88" t="str">
        <x:v>2404.12</x:v>
      </x:c>
      <x:c r="E24" s="88" t="str">
        <x:v>2404</x:v>
      </x:c>
      <x:c r="F24" s="88" t="str">
        <x:v>240412</x:v>
      </x:c>
      <x:c r="G24" s="88" t="str">
        <x:v>6位</x:v>
      </x:c>
      <x:c r="H24" s="87" t="str">
        <x:v>尼古丁液</x:v>
      </x:c>
      <x:c r="I24" s="87" t="str">
        <x:v>Nicotine packs</x:v>
      </x:c>
      <x:c r="J24" s="87"/>
      <x:c r="K24" s="87" t="str">
        <x:v>不同浓度水平的尼古丁液，含有尼古丁与植物甘油、丙二醇或尼古丁盐的混合物。该产品根据包装上的推荐剂量加入到电子烟的烟液中，使电子烟烟液达到所需的尼古丁浓度。该产品不是电子烟的烟液，不能单独用于电子烟。</x:v>
      </x:c>
      <x:c r="L24" s="87"/>
      <x:c r="M24" s="87" t="str">
        <x:v>归类总规则一及六</x:v>
      </x:c>
      <x:c r="N24" s="87" t="str">
        <x:v>海关总署公告2023年第94号</x:v>
      </x:c>
      <x:c r="O24" s="87"/>
      <x:c r="P24" s="87"/>
      <x:c r="Q24" s="87" t="str">
        <x:v>未在所附2025失效清单中</x:v>
      </x:c>
      <x:c r="R24" s="87"/>
      <x:c r="S24" s="87" t="str">
        <x:v>A</x:v>
      </x:c>
      <x:c r="T24" s="87" t="str">
        <x:v>用户提供的官方公告附件</x:v>
      </x:c>
      <x:c r="U24" s="87" t="str">
        <x:v>53371691393917063.doc</x:v>
      </x:c>
      <x:c r="V24" s="87"/>
      <x:c r="W24" s="87"/>
      <x:c r="X24" s="87" t="str">
        <x:v>官方附件原文（WCO表未单列归类决定叙述，仅列归类依据）</x:v>
      </x:c>
      <x:c r="Y24" s="89" t="str">
        <x:v>2404120000</x:v>
      </x:c>
      <x:c r="Z24" s="90" t="str">
        <x:v>前缀核对通过：唯一候选，待业务确认</x:v>
      </x:c>
      <x:c r="AA24" s="87" t="str">
        <x:v>可入库</x:v>
      </x:c>
    </x:row>
    <x:row r="25" ht="46" customHeight="1">
      <x:c r="A25" s="87" t="n">
        <x:v>2023</x:v>
      </x:c>
      <x:c r="B25" s="87" t="str">
        <x:v>W2023-8</x:v>
      </x:c>
      <x:c r="C25" s="87" t="str">
        <x:v>WCO转化决定(W)</x:v>
      </x:c>
      <x:c r="D25" s="88" t="str">
        <x:v>2404.19</x:v>
      </x:c>
      <x:c r="E25" s="88" t="str">
        <x:v>2404</x:v>
      </x:c>
      <x:c r="F25" s="88" t="str">
        <x:v>240419</x:v>
      </x:c>
      <x:c r="G25" s="88" t="str">
        <x:v>6位</x:v>
      </x:c>
      <x:c r="H25" s="87" t="str">
        <x:v>精油扩散器</x:v>
      </x:c>
      <x:c r="I25" s="87" t="str">
        <x:v>Essential oil diffusers</x:v>
      </x:c>
      <x:c r="J25" s="87"/>
      <x:c r="K25" s="87" t="str">
        <x:v>精油扩散器（不含尼古丁和烟草）。该产品为一次性使用电子设备，无需燃烧即可产生蒸汽，蒸汽从使用者的口腔吸入，从鼻腔呼出。该产品预装有含精油（20%）和甘油（80%）的混合物。</x:v>
      </x:c>
      <x:c r="L25" s="87"/>
      <x:c r="M25" s="87" t="str">
        <x:v>归类总规则一及六</x:v>
      </x:c>
      <x:c r="N25" s="87" t="str">
        <x:v>海关总署公告2023年第94号</x:v>
      </x:c>
      <x:c r="O25" s="87"/>
      <x:c r="P25" s="87"/>
      <x:c r="Q25" s="87" t="str">
        <x:v>未在所附2025失效清单中</x:v>
      </x:c>
      <x:c r="R25" s="87"/>
      <x:c r="S25" s="87" t="str">
        <x:v>A</x:v>
      </x:c>
      <x:c r="T25" s="87" t="str">
        <x:v>用户提供的官方公告附件</x:v>
      </x:c>
      <x:c r="U25" s="87" t="str">
        <x:v>53371691393917063.doc</x:v>
      </x:c>
      <x:c r="V25" s="87"/>
      <x:c r="W25" s="87"/>
      <x:c r="X25" s="87" t="str">
        <x:v>官方附件原文（WCO表未单列归类决定叙述，仅列归类依据）</x:v>
      </x:c>
      <x:c r="Y25" s="89" t="str"/>
      <x:c r="Z25" s="90" t="str">
        <x:v>前缀核对通过：2个候选，需人工映射</x:v>
      </x:c>
      <x:c r="AA25" s="87" t="str">
        <x:v>可入库</x:v>
      </x:c>
    </x:row>
    <x:row r="26" ht="46" customHeight="1">
      <x:c r="A26" s="87" t="n">
        <x:v>2023</x:v>
      </x:c>
      <x:c r="B26" s="87" t="str">
        <x:v>W2023-9</x:v>
      </x:c>
      <x:c r="C26" s="87" t="str">
        <x:v>WCO转化决定(W)</x:v>
      </x:c>
      <x:c r="D26" s="88" t="str">
        <x:v>2404.19</x:v>
      </x:c>
      <x:c r="E26" s="88" t="str">
        <x:v>2404</x:v>
      </x:c>
      <x:c r="F26" s="88" t="str">
        <x:v>240419</x:v>
      </x:c>
      <x:c r="G26" s="88" t="str">
        <x:v>6位</x:v>
      </x:c>
      <x:c r="H26" s="87" t="str">
        <x:v>水烟用化学品</x:v>
      </x:c>
      <x:c r="I26" s="87" t="str">
        <x:v>Chemical product</x:v>
      </x:c>
      <x:c r="J26" s="87"/>
      <x:c r="K26" s="87" t="str">
        <x:v>该产品通过加压注入的方法将含有甘油和香料的溶液渗透到天然矿石的孔隙中，产品中不含尼古丁。使用水烟时通过加热矿石，蒸发溶液，吸入产生的蒸汽。</x:v>
      </x:c>
      <x:c r="L26" s="87"/>
      <x:c r="M26" s="87" t="str">
        <x:v>归类总规则一及六</x:v>
      </x:c>
      <x:c r="N26" s="87" t="str">
        <x:v>海关总署公告2023年第94号</x:v>
      </x:c>
      <x:c r="O26" s="87"/>
      <x:c r="P26" s="87"/>
      <x:c r="Q26" s="87" t="str">
        <x:v>未在所附2025失效清单中</x:v>
      </x:c>
      <x:c r="R26" s="87"/>
      <x:c r="S26" s="87" t="str">
        <x:v>A</x:v>
      </x:c>
      <x:c r="T26" s="87" t="str">
        <x:v>用户提供的官方公告附件</x:v>
      </x:c>
      <x:c r="U26" s="87" t="str">
        <x:v>53371691393917063.doc</x:v>
      </x:c>
      <x:c r="V26" s="87"/>
      <x:c r="W26" s="87"/>
      <x:c r="X26" s="87" t="str">
        <x:v>官方附件原文（WCO表未单列归类决定叙述，仅列归类依据）</x:v>
      </x:c>
      <x:c r="Y26" s="89" t="str"/>
      <x:c r="Z26" s="90" t="str">
        <x:v>前缀核对通过：2个候选，需人工映射</x:v>
      </x:c>
      <x:c r="AA26" s="87" t="str">
        <x:v>可入库</x:v>
      </x:c>
    </x:row>
    <x:row r="27" ht="46" customHeight="1">
      <x:c r="A27" s="87" t="n">
        <x:v>2023</x:v>
      </x:c>
      <x:c r="B27" s="87" t="str">
        <x:v>Z2023-0001</x:v>
      </x:c>
      <x:c r="C27" s="87" t="str">
        <x:v>中国归类决定(Z)</x:v>
      </x:c>
      <x:c r="D27" s="88" t="str">
        <x:v>0203.2200</x:v>
      </x:c>
      <x:c r="E27" s="88" t="str">
        <x:v>0203</x:v>
      </x:c>
      <x:c r="F27" s="88" t="str">
        <x:v>020322</x:v>
      </x:c>
      <x:c r="G27" s="88" t="str">
        <x:v>8位</x:v>
      </x:c>
      <x:c r="H27" s="87" t="str">
        <x:v>冷冻生猪前段（不含前肘）</x:v>
      </x:c>
      <x:c r="I27" s="87"/>
      <x:c r="J27" s="87" t="str">
        <x:v>无</x:v>
      </x:c>
      <x:c r="K27" s="87" t="str">
        <x:v>该商品为供食用的冷冻生猪前段，加工切割方法为：从头部靠近颈椎的背线上以直角进行笔直垂直切割，从中间分开在3至4肋骨间以直角笔直垂直切割，从臂骨和桡骨之间切割，去肘，保留肩部（肩胛骨）和前筒骨（臂骨）。</x:v>
      </x:c>
      <x:c r="L27" s="87" t="str">
        <x:v>该商品的切割部位位于生猪肩部，《税则》子目0203.22所称“前腿”包括前腿和肩部的肉，根据归类总规则一及六，应归入税则号列0203.2200。</x:v>
      </x:c>
      <x:c r="M27" s="87" t="str">
        <x:v>归类总规则一及六；《税则》子目0203.22所称“前腿”包括前腿和肩部的肉</x:v>
      </x:c>
      <x:c r="N27" s="87" t="str">
        <x:v>海关总署公告2023年第94号</x:v>
      </x:c>
      <x:c r="O27" s="87"/>
      <x:c r="P27" s="87"/>
      <x:c r="Q27" s="87" t="str">
        <x:v>未在所附2025失效清单中</x:v>
      </x:c>
      <x:c r="R27" s="87"/>
      <x:c r="S27" s="87" t="str">
        <x:v>A</x:v>
      </x:c>
      <x:c r="T27" s="87" t="str">
        <x:v>用户提供的官方公告附件</x:v>
      </x:c>
      <x:c r="U27" s="87" t="str">
        <x:v>6351691393903988.doc</x:v>
      </x:c>
      <x:c r="V27" s="87"/>
      <x:c r="W27" s="87"/>
      <x:c r="X27" s="87" t="str">
        <x:v>官方附件原文</x:v>
      </x:c>
      <x:c r="Y27" s="89" t="str"/>
      <x:c r="Z27" s="90" t="str">
        <x:v>前缀核对通过：2个候选，需人工映射</x:v>
      </x:c>
      <x:c r="AA27" s="87" t="str">
        <x:v>可入库</x:v>
      </x:c>
    </x:row>
    <x:row r="28" ht="46" customHeight="1">
      <x:c r="A28" s="87" t="n">
        <x:v>2023</x:v>
      </x:c>
      <x:c r="B28" s="87" t="str">
        <x:v>Z2023-0002</x:v>
      </x:c>
      <x:c r="C28" s="87" t="str">
        <x:v>中国归类决定(Z)</x:v>
      </x:c>
      <x:c r="D28" s="88" t="str">
        <x:v>0309.1000</x:v>
      </x:c>
      <x:c r="E28" s="88" t="str">
        <x:v>0309</x:v>
      </x:c>
      <x:c r="F28" s="88" t="str">
        <x:v>030910</x:v>
      </x:c>
      <x:c r="G28" s="88" t="str">
        <x:v>8位</x:v>
      </x:c>
      <x:c r="H28" s="87" t="str">
        <x:v>鲨鱼软骨粉</x:v>
      </x:c>
      <x:c r="I28" s="87"/>
      <x:c r="J28" s="87" t="str">
        <x:v>无</x:v>
      </x:c>
      <x:c r="K28" s="87" t="str">
        <x:v>该商品为白色粉末，是制作“复合钙片”的原料，主要成分为鲨鱼软骨，经冷冻、干燥、灭菌及粉碎等工艺加工而成。</x:v>
      </x:c>
      <x:c r="L28" s="87" t="str">
        <x:v>该商品是供人食用的鱼粉，根据归类总规则一及六，应归入税则号列0309.1000。</x:v>
      </x:c>
      <x:c r="M28" s="87" t="str">
        <x:v>归类总规则一及六</x:v>
      </x:c>
      <x:c r="N28" s="87" t="str">
        <x:v>海关总署公告2023年第94号</x:v>
      </x:c>
      <x:c r="O28" s="87"/>
      <x:c r="P28" s="87"/>
      <x:c r="Q28" s="87" t="str">
        <x:v>未在所附2025失效清单中</x:v>
      </x:c>
      <x:c r="R28" s="87"/>
      <x:c r="S28" s="87" t="str">
        <x:v>A</x:v>
      </x:c>
      <x:c r="T28" s="87" t="str">
        <x:v>用户提供的官方公告附件</x:v>
      </x:c>
      <x:c r="U28" s="87" t="str">
        <x:v>6351691393903988.doc</x:v>
      </x:c>
      <x:c r="V28" s="87"/>
      <x:c r="W28" s="87"/>
      <x:c r="X28" s="87" t="str">
        <x:v>官方附件原文</x:v>
      </x:c>
      <x:c r="Y28" s="89" t="str"/>
      <x:c r="Z28" s="90" t="str">
        <x:v>前缀核对通过：2个候选，需人工映射</x:v>
      </x:c>
      <x:c r="AA28" s="87" t="str">
        <x:v>可入库</x:v>
      </x:c>
    </x:row>
    <x:row r="29" ht="46" customHeight="1">
      <x:c r="A29" s="87" t="n">
        <x:v>2023</x:v>
      </x:c>
      <x:c r="B29" s="87" t="str">
        <x:v>Z2023-0003</x:v>
      </x:c>
      <x:c r="C29" s="87" t="str">
        <x:v>中国归类决定(Z)</x:v>
      </x:c>
      <x:c r="D29" s="88" t="str">
        <x:v>2202.9900</x:v>
      </x:c>
      <x:c r="E29" s="88" t="str">
        <x:v>2202</x:v>
      </x:c>
      <x:c r="F29" s="88" t="str">
        <x:v>220299</x:v>
      </x:c>
      <x:c r="G29" s="88" t="str">
        <x:v>8位</x:v>
      </x:c>
      <x:c r="H29" s="87" t="str">
        <x:v>莱菲得番茄饮品</x:v>
      </x:c>
      <x:c r="I29" s="87"/>
      <x:c r="J29" s="87" t="str">
        <x:v>120毫升/袋</x:v>
      </x:c>
      <x:c r="K29" s="87" t="str">
        <x:v>该商品为供直接饮用的饮料，成分含量：水73.9%、西红柿萃取物10%（将西红柿的细胞壁打碎后萃取其中的多糖类物质）、梨浓缩液（6倍浓缩）6%、龙舌兰糖浆5%、苹果浓缩液（6倍浓缩）3%、野樱梅浓缩液（10倍浓缩）2%、维生素C 0.1%；工艺为：将各原料投入水中后充分混合、杀菌、包装成袋。</x:v>
      </x:c>
      <x:c r="L29" s="87" t="str">
        <x:v>该商品是供直接饮用的多种浓缩果汁和西红柿萃取物的混合物，且在浓缩果汁中加入了超过非浓缩汁正常含量的水，具有饮料的特征，根据归类总规则一及六，应归入税则号列2202.9900。</x:v>
      </x:c>
      <x:c r="M29" s="87" t="str">
        <x:v>归类总规则一及六</x:v>
      </x:c>
      <x:c r="N29" s="87" t="str">
        <x:v>海关总署公告2023年第94号</x:v>
      </x:c>
      <x:c r="O29" s="87"/>
      <x:c r="P29" s="87"/>
      <x:c r="Q29" s="87" t="str">
        <x:v>未在所附2025失效清单中</x:v>
      </x:c>
      <x:c r="R29" s="87"/>
      <x:c r="S29" s="87" t="str">
        <x:v>A</x:v>
      </x:c>
      <x:c r="T29" s="87" t="str">
        <x:v>用户提供的官方公告附件</x:v>
      </x:c>
      <x:c r="U29" s="87" t="str">
        <x:v>6351691393903988.doc</x:v>
      </x:c>
      <x:c r="V29" s="87"/>
      <x:c r="W29" s="87"/>
      <x:c r="X29" s="87" t="str">
        <x:v>官方附件原文</x:v>
      </x:c>
      <x:c r="Y29" s="89" t="str"/>
      <x:c r="Z29" s="90" t="str">
        <x:v>前缀核对通过：4个候选，需人工映射</x:v>
      </x:c>
      <x:c r="AA29" s="87" t="str">
        <x:v>可入库</x:v>
      </x:c>
    </x:row>
    <x:row r="30" ht="46" customHeight="1">
      <x:c r="A30" s="87" t="n">
        <x:v>2023</x:v>
      </x:c>
      <x:c r="B30" s="87" t="str">
        <x:v>Z2023-0004</x:v>
      </x:c>
      <x:c r="C30" s="87" t="str">
        <x:v>中国归类决定(Z)</x:v>
      </x:c>
      <x:c r="D30" s="88" t="str">
        <x:v>2202.9900</x:v>
      </x:c>
      <x:c r="E30" s="88" t="str">
        <x:v>2202</x:v>
      </x:c>
      <x:c r="F30" s="88" t="str">
        <x:v>220299</x:v>
      </x:c>
      <x:c r="G30" s="88" t="str">
        <x:v>8位</x:v>
      </x:c>
      <x:c r="H30" s="87" t="str">
        <x:v>草莓风味全脂调制乳</x:v>
      </x:c>
      <x:c r="I30" s="87"/>
      <x:c r="J30" s="87" t="str">
        <x:v>250毫升/瓶</x:v>
      </x:c>
      <x:c r="K30" s="87" t="str">
        <x:v>该商品为添加有香料的含乳饮料，供直接饮用。成分含量：全脂牛奶94.55%、白砂糖5.3%、草莓味食用香料0.1%、日落黄0.05%。工艺包括：原料验收、杀菌、标准化、原料混合、均质、超高温灭菌、包装。</x:v>
      </x:c>
      <x:c r="L30" s="87" t="str">
        <x:v>该产品是添加有香料的含乳饮料，超出了税目04.02的商品范围，根据归类总规则一及六，应归入税则号列2202.9900。</x:v>
      </x:c>
      <x:c r="M30" s="87" t="str">
        <x:v>归类总规则一及六</x:v>
      </x:c>
      <x:c r="N30" s="87" t="str">
        <x:v>海关总署公告2023年第94号</x:v>
      </x:c>
      <x:c r="O30" s="87"/>
      <x:c r="P30" s="87"/>
      <x:c r="Q30" s="87" t="str">
        <x:v>未在所附2025失效清单中</x:v>
      </x:c>
      <x:c r="R30" s="87"/>
      <x:c r="S30" s="87" t="str">
        <x:v>A</x:v>
      </x:c>
      <x:c r="T30" s="87" t="str">
        <x:v>用户提供的官方公告附件</x:v>
      </x:c>
      <x:c r="U30" s="87" t="str">
        <x:v>6351691393903988.doc</x:v>
      </x:c>
      <x:c r="V30" s="87"/>
      <x:c r="W30" s="87"/>
      <x:c r="X30" s="87" t="str">
        <x:v>官方附件原文</x:v>
      </x:c>
      <x:c r="Y30" s="89" t="str"/>
      <x:c r="Z30" s="90" t="str">
        <x:v>前缀核对通过：4个候选，需人工映射</x:v>
      </x:c>
      <x:c r="AA30" s="87" t="str">
        <x:v>可入库</x:v>
      </x:c>
    </x:row>
    <x:row r="31" ht="46" customHeight="1">
      <x:c r="A31" s="87" t="n">
        <x:v>2023</x:v>
      </x:c>
      <x:c r="B31" s="87" t="str">
        <x:v>Z2023-0005</x:v>
      </x:c>
      <x:c r="C31" s="87" t="str">
        <x:v>中国归类决定(Z)</x:v>
      </x:c>
      <x:c r="D31" s="88" t="str">
        <x:v>2206.0090</x:v>
      </x:c>
      <x:c r="E31" s="88" t="str">
        <x:v>2206</x:v>
      </x:c>
      <x:c r="F31" s="88" t="str">
        <x:v>220600</x:v>
      </x:c>
      <x:c r="G31" s="88" t="str">
        <x:v>8位</x:v>
      </x:c>
      <x:c r="H31" s="87" t="str">
        <x:v>荔枝味桃红起泡鸡尾酒</x:v>
      </x:c>
      <x:c r="I31" s="87"/>
      <x:c r="J31" s="87" t="str">
        <x:v>酒精度4度，200毫升/瓶</x:v>
      </x:c>
      <x:c r="K31" s="87" t="str">
        <x:v>该商品成分：桃红葡萄酒70.004%、水18.278%、糖10%、荔枝香料0.88%、二氧化碳0.665%、柠檬酸0.15%、山梨酸0.023%；工艺为：以鲜葡萄榨汁、澄清，经三周发酵后制成桃红葡萄酒，依次加入纯净水降低酒精度，并加入荔枝香料、柠檬酸、糖、山梨酸等配料进行调味，最后注入二氧化碳，制成加香型起泡酒，其中荔枝香料、糖等仅作为加香调味作用，不参与发酵过程。</x:v>
      </x:c>
      <x:c r="L31" s="87" t="str">
        <x:v>该商品在葡萄酒中添加了香料等调味物质，且用水进行了稀释，生产工艺超出了税目22.04和22.05的商品范围，根据归类总规则一及六，应归入税则号列2206.0090。</x:v>
      </x:c>
      <x:c r="M31" s="87" t="str">
        <x:v>归类总规则一及六</x:v>
      </x:c>
      <x:c r="N31" s="87" t="str">
        <x:v>海关总署公告2023年第94号</x:v>
      </x:c>
      <x:c r="O31" s="87"/>
      <x:c r="P31" s="87"/>
      <x:c r="Q31" s="87" t="str">
        <x:v>未在所附2025失效清单中</x:v>
      </x:c>
      <x:c r="R31" s="87"/>
      <x:c r="S31" s="87" t="str">
        <x:v>A</x:v>
      </x:c>
      <x:c r="T31" s="87" t="str">
        <x:v>用户提供的官方公告附件</x:v>
      </x:c>
      <x:c r="U31" s="87" t="str">
        <x:v>6351691393903988.doc</x:v>
      </x:c>
      <x:c r="V31" s="87"/>
      <x:c r="W31" s="87"/>
      <x:c r="X31" s="87" t="str">
        <x:v>官方附件原文</x:v>
      </x:c>
      <x:c r="Y31" s="89" t="str">
        <x:v>2206009000</x:v>
      </x:c>
      <x:c r="Z31" s="90" t="str">
        <x:v>前缀核对通过：唯一候选，待业务确认</x:v>
      </x:c>
      <x:c r="AA31" s="87" t="str">
        <x:v>可入库</x:v>
      </x:c>
    </x:row>
    <x:row r="32" ht="46" customHeight="1">
      <x:c r="A32" s="87" t="n">
        <x:v>2023</x:v>
      </x:c>
      <x:c r="B32" s="87" t="str">
        <x:v>Z2023-0006</x:v>
      </x:c>
      <x:c r="C32" s="87" t="str">
        <x:v>中国归类决定(Z)</x:v>
      </x:c>
      <x:c r="D32" s="88" t="str">
        <x:v>3001.9090</x:v>
      </x:c>
      <x:c r="E32" s="88" t="str">
        <x:v>3001</x:v>
      </x:c>
      <x:c r="F32" s="88" t="str">
        <x:v>300190</x:v>
      </x:c>
      <x:c r="G32" s="88" t="str">
        <x:v>8位</x:v>
      </x:c>
      <x:c r="H32" s="87" t="str">
        <x:v>干制蛤蚧</x:v>
      </x:c>
      <x:c r="I32" s="87"/>
      <x:c r="J32" s="87" t="str">
        <x:v>无</x:v>
      </x:c>
      <x:c r="K32" s="87" t="str">
        <x:v>干制蛤蚧是壁虎科壁虎属动物蛤蚧（学名：Gekkogecko）的干燥体，为《中华人民共和国药典》列明的中药材；工艺为：蛤蚧破腹除去内脏、用竹片撑开使之四肢顺直、低温炭火烤干、捆扎成对。</x:v>
      </x:c>
      <x:c r="L32" s="87" t="str">
        <x:v>该商品属于干制的供配制药用的动物产品，根据归类总规则一及六，应归入税则号列3001.9090。</x:v>
      </x:c>
      <x:c r="M32" s="87" t="str">
        <x:v>归类总规则一及六</x:v>
      </x:c>
      <x:c r="N32" s="87" t="str">
        <x:v>海关总署公告2023年第94号</x:v>
      </x:c>
      <x:c r="O32" s="87"/>
      <x:c r="P32" s="87"/>
      <x:c r="Q32" s="87" t="str">
        <x:v>未在所附2025失效清单中</x:v>
      </x:c>
      <x:c r="R32" s="87"/>
      <x:c r="S32" s="87" t="str">
        <x:v>A</x:v>
      </x:c>
      <x:c r="T32" s="87" t="str">
        <x:v>用户提供的官方公告附件</x:v>
      </x:c>
      <x:c r="U32" s="87" t="str">
        <x:v>6351691393903988.doc</x:v>
      </x:c>
      <x:c r="V32" s="87"/>
      <x:c r="W32" s="87"/>
      <x:c r="X32" s="87" t="str">
        <x:v>官方附件原文</x:v>
      </x:c>
      <x:c r="Y32" s="89" t="str"/>
      <x:c r="Z32" s="90" t="str">
        <x:v>前缀核对通过：6个候选，需人工映射</x:v>
      </x:c>
      <x:c r="AA32" s="87" t="str">
        <x:v>可入库</x:v>
      </x:c>
    </x:row>
    <x:row r="33" ht="46" customHeight="1">
      <x:c r="A33" s="87" t="n">
        <x:v>2023</x:v>
      </x:c>
      <x:c r="B33" s="87" t="str">
        <x:v>Z2023-0007</x:v>
      </x:c>
      <x:c r="C33" s="87" t="str">
        <x:v>中国归类决定(Z)</x:v>
      </x:c>
      <x:c r="D33" s="88" t="str">
        <x:v>3002.1200</x:v>
      </x:c>
      <x:c r="E33" s="88" t="str">
        <x:v>3002</x:v>
      </x:c>
      <x:c r="F33" s="88" t="str">
        <x:v>300212</x:v>
      </x:c>
      <x:c r="G33" s="88" t="str">
        <x:v>8位</x:v>
      </x:c>
      <x:c r="H33" s="87" t="str">
        <x:v>喷雾干燥猪血浆蛋白粉</x:v>
      </x:c>
      <x:c r="I33" s="87"/>
      <x:c r="J33" s="87" t="str">
        <x:v>无</x:v>
      </x:c>
      <x:c r="K33" s="87" t="str">
        <x:v>该商品外观为浅黄色，成分含量：粗蛋白质大于70%，且免疫球蛋白占粗蛋白的比例不低于15%；工艺为：以猪血分离出的血浆为原料，经灭菌、喷雾干燥制得；用于刺激断奶乳猪采食、加快生长速度、改进饲料转换率、减少疾病及降低死亡率。</x:v>
      </x:c>
      <x:c r="L33" s="87" t="str">
        <x:v>该商品属于动物血浆制品，根据归类总规则一及六，应归入税则号列3002.1200。</x:v>
      </x:c>
      <x:c r="M33" s="87" t="str">
        <x:v>归类总规则一及六</x:v>
      </x:c>
      <x:c r="N33" s="87" t="str">
        <x:v>海关总署公告2023年第94号</x:v>
      </x:c>
      <x:c r="O33" s="87"/>
      <x:c r="P33" s="87"/>
      <x:c r="Q33" s="87" t="str">
        <x:v>未在所附2025失效清单中</x:v>
      </x:c>
      <x:c r="R33" s="87"/>
      <x:c r="S33" s="87" t="str">
        <x:v>A</x:v>
      </x:c>
      <x:c r="T33" s="87" t="str">
        <x:v>用户提供的官方公告附件</x:v>
      </x:c>
      <x:c r="U33" s="87" t="str">
        <x:v>6351691393903988.doc</x:v>
      </x:c>
      <x:c r="V33" s="87"/>
      <x:c r="W33" s="87"/>
      <x:c r="X33" s="87" t="str">
        <x:v>官方附件原文</x:v>
      </x:c>
      <x:c r="Y33" s="89" t="str"/>
      <x:c r="Z33" s="90" t="str">
        <x:v>前缀核对通过：5个候选，需人工映射</x:v>
      </x:c>
      <x:c r="AA33" s="87" t="str">
        <x:v>可入库</x:v>
      </x:c>
    </x:row>
    <x:row r="34" ht="46" customHeight="1">
      <x:c r="A34" s="87" t="n">
        <x:v>2023</x:v>
      </x:c>
      <x:c r="B34" s="87" t="str">
        <x:v>Z2023-0008</x:v>
      </x:c>
      <x:c r="C34" s="87" t="str">
        <x:v>中国归类决定(Z)</x:v>
      </x:c>
      <x:c r="D34" s="88" t="str">
        <x:v>4401.1200</x:v>
      </x:c>
      <x:c r="E34" s="88" t="str">
        <x:v>4401</x:v>
      </x:c>
      <x:c r="F34" s="88" t="str">
        <x:v>440112</x:v>
      </x:c>
      <x:c r="G34" s="88" t="str">
        <x:v>8位</x:v>
      </x:c>
      <x:c r="H34" s="87" t="str">
        <x:v>檀香枝丫材</x:v>
      </x:c>
      <x:c r="I34" s="87"/>
      <x:c r="J34" s="87" t="str">
        <x:v>规格：直径3.5厘米，长度48厘米</x:v>
      </x:c>
      <x:c r="K34" s="87" t="str">
        <x:v>该商品为檀香（学名：Santalum albumL.）枝丫材，用于加工制成工艺品。外观呈圆柱体，略有弯曲；工艺为切锯和去皮。</x:v>
      </x:c>
      <x:c r="L34" s="87" t="str">
        <x:v>该商品为不符合原木规格尺寸的檀香薪柴，用作工艺品原料，根据归类总规则一及六，应归入税则号列4401.1200。</x:v>
      </x:c>
      <x:c r="M34" s="87" t="str">
        <x:v>归类总规则一及六</x:v>
      </x:c>
      <x:c r="N34" s="87" t="str">
        <x:v>海关总署公告2023年第94号</x:v>
      </x:c>
      <x:c r="O34" s="87"/>
      <x:c r="P34" s="87"/>
      <x:c r="Q34" s="87" t="str">
        <x:v>未在所附2025失效清单中</x:v>
      </x:c>
      <x:c r="R34" s="87"/>
      <x:c r="S34" s="87" t="str">
        <x:v>A</x:v>
      </x:c>
      <x:c r="T34" s="87" t="str">
        <x:v>用户提供的官方公告附件</x:v>
      </x:c>
      <x:c r="U34" s="87" t="str">
        <x:v>6351691393903988.doc</x:v>
      </x:c>
      <x:c r="V34" s="87"/>
      <x:c r="W34" s="87"/>
      <x:c r="X34" s="87" t="str">
        <x:v>官方附件原文</x:v>
      </x:c>
      <x:c r="Y34" s="89" t="str"/>
      <x:c r="Z34" s="90" t="str">
        <x:v>前缀核对通过：2个候选，需人工映射</x:v>
      </x:c>
      <x:c r="AA34" s="87" t="str">
        <x:v>可入库</x:v>
      </x:c>
    </x:row>
    <x:row r="35" ht="46" customHeight="1">
      <x:c r="A35" s="87" t="n">
        <x:v>2023</x:v>
      </x:c>
      <x:c r="B35" s="87" t="str">
        <x:v>Z2023-0009</x:v>
      </x:c>
      <x:c r="C35" s="87" t="str">
        <x:v>中国归类决定(Z)</x:v>
      </x:c>
      <x:c r="D35" s="88" t="str">
        <x:v>4403.4990</x:v>
      </x:c>
      <x:c r="E35" s="88" t="str">
        <x:v>4403</x:v>
      </x:c>
      <x:c r="F35" s="88" t="str">
        <x:v>440349</x:v>
      </x:c>
      <x:c r="G35" s="88" t="str">
        <x:v>8位</x:v>
      </x:c>
      <x:c r="H35" s="87" t="str">
        <x:v>檀香枝丫材</x:v>
      </x:c>
      <x:c r="I35" s="87"/>
      <x:c r="J35" s="87" t="str">
        <x:v>规格：直径4厘米，长度50厘米</x:v>
      </x:c>
      <x:c r="K35" s="87" t="str">
        <x:v>该商品为檀香（学名：Santalum albumL.）枝丫材，用于加工制成工艺品。外观呈圆柱体，略有弯曲；工艺为切锯和去皮。</x:v>
      </x:c>
      <x:c r="L35" s="87" t="str">
        <x:v>该商品为直径不小于4厘米、且长度不小于50厘米的檀香原木，根据归类总规则一及六，应归入税则号列4403.4990。</x:v>
      </x:c>
      <x:c r="M35" s="87" t="str">
        <x:v>归类总规则一及六</x:v>
      </x:c>
      <x:c r="N35" s="87" t="str">
        <x:v>海关总署公告2023年第94号</x:v>
      </x:c>
      <x:c r="O35" s="87"/>
      <x:c r="P35" s="87"/>
      <x:c r="Q35" s="87" t="str">
        <x:v>未在所附2025失效清单中</x:v>
      </x:c>
      <x:c r="R35" s="87"/>
      <x:c r="S35" s="87" t="str">
        <x:v>A</x:v>
      </x:c>
      <x:c r="T35" s="87" t="str">
        <x:v>用户提供的官方公告附件</x:v>
      </x:c>
      <x:c r="U35" s="87" t="str">
        <x:v>6351691393903988.doc</x:v>
      </x:c>
      <x:c r="V35" s="87"/>
      <x:c r="W35" s="87"/>
      <x:c r="X35" s="87" t="str">
        <x:v>官方附件原文</x:v>
      </x:c>
      <x:c r="Y35" s="89" t="str"/>
      <x:c r="Z35" s="90" t="str">
        <x:v>前缀核对通过：3个候选，需人工映射</x:v>
      </x:c>
      <x:c r="AA35" s="87" t="str">
        <x:v>可入库</x:v>
      </x:c>
    </x:row>
    <x:row r="36" ht="46" customHeight="1">
      <x:c r="A36" s="87" t="n">
        <x:v>2023</x:v>
      </x:c>
      <x:c r="B36" s="87" t="str">
        <x:v>Z2023-0010</x:v>
      </x:c>
      <x:c r="C36" s="87" t="str">
        <x:v>中国归类决定(Z)</x:v>
      </x:c>
      <x:c r="D36" s="88" t="str">
        <x:v>4811.5199</x:v>
      </x:c>
      <x:c r="E36" s="88" t="str">
        <x:v>4811</x:v>
      </x:c>
      <x:c r="F36" s="88" t="str">
        <x:v>481151</x:v>
      </x:c>
      <x:c r="G36" s="88" t="str">
        <x:v>8位</x:v>
      </x:c>
      <x:c r="H36" s="87" t="str">
        <x:v>涂塑卡纸</x:v>
      </x:c>
      <x:c r="I36" s="87"/>
      <x:c r="J36" s="87" t="str">
        <x:v>成卷，大于150克/平方米</x:v>
      </x:c>
      <x:c r="K36" s="87" t="str">
        <x:v>该商品为单面涂塑的白卡纸，用于制造食品级用纸杯。采用漂白化学机械浆制成，在造纸过程中未加入荧光增白剂。</x:v>
      </x:c>
      <x:c r="L36" s="87" t="str">
        <x:v>该商品为单面涂塑的白卡纸，《税则》所称“漂白”应为在纸浆制造过程中经过“漂白”流程，不以其变白到何种程度（或白度值大小）判断是否为“漂白的”，该商品是由漂白化学机械浆制得，根据归类总规则一及六，应归入税则号列4811.5199。</x:v>
      </x:c>
      <x:c r="M36" s="87" t="str">
        <x:v>归类总规则一及六；《税则》所称“漂白”应为在纸浆制造过程中经过“漂白”流程</x:v>
      </x:c>
      <x:c r="N36" s="87" t="str">
        <x:v>海关总署公告2023年第94号</x:v>
      </x:c>
      <x:c r="O36" s="87"/>
      <x:c r="P36" s="87"/>
      <x:c r="Q36" s="87" t="str">
        <x:v>未在所附2025失效清单中</x:v>
      </x:c>
      <x:c r="R36" s="87"/>
      <x:c r="S36" s="87" t="str">
        <x:v>A</x:v>
      </x:c>
      <x:c r="T36" s="87" t="str">
        <x:v>用户提供的官方公告附件</x:v>
      </x:c>
      <x:c r="U36" s="87" t="str">
        <x:v>6351691393903988.doc</x:v>
      </x:c>
      <x:c r="V36" s="87"/>
      <x:c r="W36" s="87"/>
      <x:c r="X36" s="87" t="str">
        <x:v>官方附件原文</x:v>
      </x:c>
      <x:c r="Y36" s="89" t="str">
        <x:v>4811519900</x:v>
      </x:c>
      <x:c r="Z36" s="90" t="str">
        <x:v>前缀核对通过：唯一候选，待业务确认</x:v>
      </x:c>
      <x:c r="AA36" s="87" t="str">
        <x:v>可入库</x:v>
      </x:c>
    </x:row>
    <x:row r="37" ht="46" customHeight="1">
      <x:c r="A37" s="87" t="n">
        <x:v>2023</x:v>
      </x:c>
      <x:c r="B37" s="87" t="str">
        <x:v>Z2023-0011</x:v>
      </x:c>
      <x:c r="C37" s="87" t="str">
        <x:v>中国归类决定(Z)</x:v>
      </x:c>
      <x:c r="D37" s="88" t="str">
        <x:v>8402.9000</x:v>
      </x:c>
      <x:c r="E37" s="88" t="str">
        <x:v>8402</x:v>
      </x:c>
      <x:c r="F37" s="88" t="str">
        <x:v>840290</x:v>
      </x:c>
      <x:c r="G37" s="88" t="str">
        <x:v>8位</x:v>
      </x:c>
      <x:c r="H37" s="87" t="str">
        <x:v>锅炉构架</x:v>
      </x:c>
      <x:c r="I37" s="87"/>
      <x:c r="J37" s="87" t="str">
        <x:v>无</x:v>
      </x:c>
      <x:c r="K37" s="87" t="str">
        <x:v>该商品为锅炉构件，专用于蒸汽锅炉，为空间桁架体系结构，由梁、柱及平面支撑、立面支撑共同构成承载体系，专用于蒸汽锅炉，不需加工，在工地直接安装，在蒸汽锅炉中起固定支撑和悬吊作用，直接用于锅炉本体。</x:v>
      </x:c>
      <x:c r="L37" s="87" t="str">
        <x:v>该商品为锅炉构件，专用于蒸汽锅炉，支撑和悬吊锅炉本体。参考现行国家标准《电工名词术语锅炉》（GB/T2900.48—2008），锅炉本体包括锅炉构架，是锅炉不可缺少的组成部份。该商品已经具备零件特征，根据归类总规则一、六，应作为锅炉专用零件归入税则号列8402.9000。</x:v>
      </x:c>
      <x:c r="M37" s="87" t="str">
        <x:v>归类总规则一、六</x:v>
      </x:c>
      <x:c r="N37" s="87" t="str">
        <x:v>海关总署公告2023年第94号</x:v>
      </x:c>
      <x:c r="O37" s="87"/>
      <x:c r="P37" s="87"/>
      <x:c r="Q37" s="87" t="str">
        <x:v>未在所附2025失效清单中</x:v>
      </x:c>
      <x:c r="R37" s="87"/>
      <x:c r="S37" s="87" t="str">
        <x:v>A</x:v>
      </x:c>
      <x:c r="T37" s="87" t="str">
        <x:v>用户提供的官方公告附件</x:v>
      </x:c>
      <x:c r="U37" s="87" t="str">
        <x:v>6351691393903988.doc</x:v>
      </x:c>
      <x:c r="V37" s="87"/>
      <x:c r="W37" s="87"/>
      <x:c r="X37" s="87" t="str">
        <x:v>官方附件原文</x:v>
      </x:c>
      <x:c r="Y37" s="89" t="str">
        <x:v>8402900000</x:v>
      </x:c>
      <x:c r="Z37" s="90" t="str">
        <x:v>前缀核对通过：唯一候选，待业务确认</x:v>
      </x:c>
      <x:c r="AA37" s="87" t="str">
        <x:v>可入库</x:v>
      </x:c>
    </x:row>
    <x:row r="38" ht="46" customHeight="1">
      <x:c r="A38" s="87" t="n">
        <x:v>2023</x:v>
      </x:c>
      <x:c r="B38" s="87" t="str">
        <x:v>Z2023-0012</x:v>
      </x:c>
      <x:c r="C38" s="87" t="str">
        <x:v>中国归类决定(Z)</x:v>
      </x:c>
      <x:c r="D38" s="88" t="str">
        <x:v>8479.8999</x:v>
      </x:c>
      <x:c r="E38" s="88" t="str">
        <x:v>8479</x:v>
      </x:c>
      <x:c r="F38" s="88" t="str">
        <x:v>847989</x:v>
      </x:c>
      <x:c r="G38" s="88" t="str">
        <x:v>8位</x:v>
      </x:c>
      <x:c r="H38" s="87" t="str">
        <x:v>清扫车</x:v>
      </x:c>
      <x:c r="I38" s="87"/>
      <x:c r="J38" s="87" t="str">
        <x:v>无</x:v>
      </x:c>
      <x:c r="K38" s="87" t="str">
        <x:v>该清扫车由使用电池供电的直流马达、液压驱动系统、行车/停车制动系统，以及扫地刷和强力吸尘系统组成，用于道路清洁，可骑乘驾驶。运行原理为：当车辆向前行走时，扫地刷便会将地上的垃圾带到车辆的中间，再由利用吸尘系统将垃圾抽吸进车辆。</x:v>
      </x:c>
      <x:c r="L38" s="87" t="str">
        <x:v>该商品为道路清扫车，具有驱动引擎、驱动系统和全自动刹车系统，但不具有变速箱及换挡操纵装置，根据《税则注释》对品目84.79“独立功能”的规定，应归入税则号列8479.8999。</x:v>
      </x:c>
      <x:c r="M38" s="87" t="str">
        <x:v>《税则注释》对品目84.79“独立功能”的规定</x:v>
      </x:c>
      <x:c r="N38" s="87" t="str">
        <x:v>海关总署公告2023年第94号</x:v>
      </x:c>
      <x:c r="O38" s="87"/>
      <x:c r="P38" s="87"/>
      <x:c r="Q38" s="87" t="str">
        <x:v>未在所附2025失效清单中</x:v>
      </x:c>
      <x:c r="R38" s="87"/>
      <x:c r="S38" s="87" t="str">
        <x:v>A</x:v>
      </x:c>
      <x:c r="T38" s="87" t="str">
        <x:v>用户提供的官方公告附件</x:v>
      </x:c>
      <x:c r="U38" s="87" t="str">
        <x:v>6351691393903988.doc</x:v>
      </x:c>
      <x:c r="V38" s="87"/>
      <x:c r="W38" s="87"/>
      <x:c r="X38" s="87" t="str">
        <x:v>官方附件原文</x:v>
      </x:c>
      <x:c r="Y38" s="89" t="str"/>
      <x:c r="Z38" s="90" t="str">
        <x:v>前缀核对通过：13个候选，需人工映射</x:v>
      </x:c>
      <x:c r="AA38" s="87" t="str">
        <x:v>可入库</x:v>
      </x:c>
    </x:row>
    <x:row r="39" ht="46" customHeight="1">
      <x:c r="A39" s="87" t="n">
        <x:v>2023</x:v>
      </x:c>
      <x:c r="B39" s="87" t="str">
        <x:v>Z2023-0013</x:v>
      </x:c>
      <x:c r="C39" s="87" t="str">
        <x:v>中国归类决定(Z)</x:v>
      </x:c>
      <x:c r="D39" s="88" t="str">
        <x:v>8479.8999</x:v>
      </x:c>
      <x:c r="E39" s="88" t="str">
        <x:v>8479</x:v>
      </x:c>
      <x:c r="F39" s="88" t="str">
        <x:v>847989</x:v>
      </x:c>
      <x:c r="G39" s="88" t="str">
        <x:v>8位</x:v>
      </x:c>
      <x:c r="H39" s="87" t="str">
        <x:v>管道污水调节装置</x:v>
      </x:c>
      <x:c r="I39" s="87"/>
      <x:c r="J39" s="87" t="str">
        <x:v>无</x:v>
      </x:c>
      <x:c r="K39" s="87" t="str">
        <x:v>该套装置用于清除中央空调冷凝管道污垢，由阀门开关控制器（PLC）、回球控制器、球注入器、海绵小球、电子阀门和垫片等组装而成，运行原理为：与空调冷凝管构成一个小循环，利用原管道自身的水流和压力，带动海绵小球循环，海绵小球经过冷凝管道时通过摩擦将管道中的污垢擦除并带到指定的位置排放污水。</x:v>
      </x:c>
      <x:c r="L39" s="87" t="str">
        <x:v>该商品为管道清洁装置，根据《税则注释》对品目84.79“独立功能”的规定，应归入税则号列8479.8999。</x:v>
      </x:c>
      <x:c r="M39" s="87" t="str">
        <x:v>《税则注释》对品目84.79“独立功能”的规定</x:v>
      </x:c>
      <x:c r="N39" s="87" t="str">
        <x:v>海关总署公告2023年第94号</x:v>
      </x:c>
      <x:c r="O39" s="87"/>
      <x:c r="P39" s="87"/>
      <x:c r="Q39" s="87" t="str">
        <x:v>未在所附2025失效清单中</x:v>
      </x:c>
      <x:c r="R39" s="87"/>
      <x:c r="S39" s="87" t="str">
        <x:v>A</x:v>
      </x:c>
      <x:c r="T39" s="87" t="str">
        <x:v>用户提供的官方公告附件</x:v>
      </x:c>
      <x:c r="U39" s="87" t="str">
        <x:v>6351691393903988.doc</x:v>
      </x:c>
      <x:c r="V39" s="87"/>
      <x:c r="W39" s="87"/>
      <x:c r="X39" s="87" t="str">
        <x:v>官方附件原文</x:v>
      </x:c>
      <x:c r="Y39" s="89" t="str"/>
      <x:c r="Z39" s="90" t="str">
        <x:v>前缀核对通过：13个候选，需人工映射</x:v>
      </x:c>
      <x:c r="AA39" s="87" t="str">
        <x:v>可入库</x:v>
      </x:c>
    </x:row>
    <x:row r="40" ht="46" customHeight="1">
      <x:c r="A40" s="87" t="n">
        <x:v>2023</x:v>
      </x:c>
      <x:c r="B40" s="87" t="str">
        <x:v>Z2023-0014</x:v>
      </x:c>
      <x:c r="C40" s="87" t="str">
        <x:v>中国归类决定(Z)</x:v>
      </x:c>
      <x:c r="D40" s="88" t="str">
        <x:v>8479.8999</x:v>
      </x:c>
      <x:c r="E40" s="88" t="str">
        <x:v>8479</x:v>
      </x:c>
      <x:c r="F40" s="88" t="str">
        <x:v>847989</x:v>
      </x:c>
      <x:c r="G40" s="88" t="str">
        <x:v>8位</x:v>
      </x:c>
      <x:c r="H40" s="87" t="str">
        <x:v>日晒牢度及气候试验机</x:v>
      </x:c>
      <x:c r="I40" s="87"/>
      <x:c r="J40" s="87" t="str">
        <x:v>型号：CI3000+</x:v>
      </x:c>
      <x:c r="K40" s="87" t="str">
        <x:v>该商品由氙灯、喷淋装置、温度控制装置等组成，用于模拟自然环境，检测纺织品品质。运行原理为：通过设备内的氙灯来模拟太阳光，并通过相应滤光片得到与太阳相近的光谱，还可模拟雨淋，调节实验的温度、湿度等，以此来测试样品经过日晒、雨淋、温度变化后颜色或其他性能的改变，测试完成后由人工通过肉眼对纺织品的褪色等情况做出判断。</x:v>
      </x:c>
      <x:c r="L40" s="87" t="str">
        <x:v>该商品为模拟自然环境设备，根据《税则注释》对品目84.79“独立功能”的规定，应归入税则号列8479.8999。</x:v>
      </x:c>
      <x:c r="M40" s="87" t="str">
        <x:v>《税则注释》对品目84.79“独立功能”的规定</x:v>
      </x:c>
      <x:c r="N40" s="87" t="str">
        <x:v>海关总署公告2023年第94号</x:v>
      </x:c>
      <x:c r="O40" s="87"/>
      <x:c r="P40" s="87"/>
      <x:c r="Q40" s="87" t="str">
        <x:v>未在所附2025失效清单中</x:v>
      </x:c>
      <x:c r="R40" s="87"/>
      <x:c r="S40" s="87" t="str">
        <x:v>A</x:v>
      </x:c>
      <x:c r="T40" s="87" t="str">
        <x:v>用户提供的官方公告附件</x:v>
      </x:c>
      <x:c r="U40" s="87" t="str">
        <x:v>6351691393903988.doc</x:v>
      </x:c>
      <x:c r="V40" s="87"/>
      <x:c r="W40" s="87"/>
      <x:c r="X40" s="87" t="str">
        <x:v>官方附件原文</x:v>
      </x:c>
      <x:c r="Y40" s="89" t="str"/>
      <x:c r="Z40" s="90" t="str">
        <x:v>前缀核对通过：13个候选，需人工映射</x:v>
      </x:c>
      <x:c r="AA40" s="87" t="str">
        <x:v>可入库</x:v>
      </x:c>
    </x:row>
    <x:row r="41" ht="46" customHeight="1">
      <x:c r="A41" s="87" t="n">
        <x:v>2023</x:v>
      </x:c>
      <x:c r="B41" s="87" t="str">
        <x:v>Z2023-0015</x:v>
      </x:c>
      <x:c r="C41" s="87" t="str">
        <x:v>中国归类决定(Z)</x:v>
      </x:c>
      <x:c r="D41" s="88" t="str">
        <x:v>8479.8999</x:v>
      </x:c>
      <x:c r="E41" s="88" t="str">
        <x:v>8479</x:v>
      </x:c>
      <x:c r="F41" s="88" t="str">
        <x:v>847989</x:v>
      </x:c>
      <x:c r="G41" s="88" t="str">
        <x:v>8位</x:v>
      </x:c>
      <x:c r="H41" s="87" t="str">
        <x:v>二氧化碳培养箱</x:v>
      </x:c>
      <x:c r="I41" s="87"/>
      <x:c r="J41" s="87" t="str">
        <x:v>无</x:v>
      </x:c>
      <x:c r="K41" s="87" t="str">
        <x:v>该商品由培养箱、气体过滤装置、二氧化碳及氧气含量控制系统、温度及湿度控器系统等组成，可以外接二氧化碳和氧气，可以控制二氧化碳浓度、相对湿度和温度等条件，用于细胞培养。运行原理为：将动物细胞接种后置于无菌的、恒湿的、有恒定的氧气和二氧化碳浓度及一定温度的二氧化碳培养箱中繁殖，如血细胞、神经细胞的繁殖扩增。</x:v>
      </x:c>
      <x:c r="L41" s="87" t="str">
        <x:v>该商品为条件可控的细胞培养设备，根据《税则注释》对品目84.79“独立功能”的规定，应归入税则号列8479.8999。</x:v>
      </x:c>
      <x:c r="M41" s="87" t="str">
        <x:v>《税则注释》对品目84.79“独立功能”的规定</x:v>
      </x:c>
      <x:c r="N41" s="87" t="str">
        <x:v>海关总署公告2023年第94号</x:v>
      </x:c>
      <x:c r="O41" s="87"/>
      <x:c r="P41" s="87"/>
      <x:c r="Q41" s="87" t="str">
        <x:v>未在所附2025失效清单中</x:v>
      </x:c>
      <x:c r="R41" s="87"/>
      <x:c r="S41" s="87" t="str">
        <x:v>A</x:v>
      </x:c>
      <x:c r="T41" s="87" t="str">
        <x:v>用户提供的官方公告附件</x:v>
      </x:c>
      <x:c r="U41" s="87" t="str">
        <x:v>6351691393903988.doc</x:v>
      </x:c>
      <x:c r="V41" s="87"/>
      <x:c r="W41" s="87"/>
      <x:c r="X41" s="87" t="str">
        <x:v>官方附件原文</x:v>
      </x:c>
      <x:c r="Y41" s="89" t="str"/>
      <x:c r="Z41" s="90" t="str">
        <x:v>前缀核对通过：13个候选，需人工映射</x:v>
      </x:c>
      <x:c r="AA41" s="87" t="str">
        <x:v>可入库</x:v>
      </x:c>
    </x:row>
    <x:row r="42" ht="46" customHeight="1">
      <x:c r="A42" s="87" t="n">
        <x:v>2023</x:v>
      </x:c>
      <x:c r="B42" s="87" t="str">
        <x:v>Z2023-0016</x:v>
      </x:c>
      <x:c r="C42" s="87" t="str">
        <x:v>中国归类决定(Z)</x:v>
      </x:c>
      <x:c r="D42" s="88" t="str">
        <x:v>8479.8999</x:v>
      </x:c>
      <x:c r="E42" s="88" t="str">
        <x:v>8479</x:v>
      </x:c>
      <x:c r="F42" s="88" t="str">
        <x:v>847989</x:v>
      </x:c>
      <x:c r="G42" s="88" t="str">
        <x:v>8位</x:v>
      </x:c>
      <x:c r="H42" s="87" t="str">
        <x:v>恒温制冷摇床</x:v>
      </x:c>
      <x:c r="I42" s="87"/>
      <x:c r="J42" s="87" t="str">
        <x:v>无</x:v>
      </x:c>
      <x:c r="K42" s="87" t="str">
        <x:v>该商品由温度可控的恒温培养箱和振荡器组成，用于培养微生物及各种细胞生长繁殖。运行原理为：通过电机的转动带动平台的摇动，提高样品的表面积和通气量，提高氧气和营养的交换。</x:v>
      </x:c>
      <x:c r="L42" s="87" t="str">
        <x:v>该商品是一种温度可控的恒温培养箱和振荡器相结合的生化仪器，根据《税则注释》对品目84.79“独立功能”的规定，应归入税则号列8479.8999。</x:v>
      </x:c>
      <x:c r="M42" s="87" t="str">
        <x:v>《税则注释》对品目84.79“独立功能”的规定</x:v>
      </x:c>
      <x:c r="N42" s="87" t="str">
        <x:v>海关总署公告2023年第94号</x:v>
      </x:c>
      <x:c r="O42" s="87"/>
      <x:c r="P42" s="87"/>
      <x:c r="Q42" s="87" t="str">
        <x:v>未在所附2025失效清单中</x:v>
      </x:c>
      <x:c r="R42" s="87"/>
      <x:c r="S42" s="87" t="str">
        <x:v>A</x:v>
      </x:c>
      <x:c r="T42" s="87" t="str">
        <x:v>用户提供的官方公告附件</x:v>
      </x:c>
      <x:c r="U42" s="87" t="str">
        <x:v>6351691393903988.doc</x:v>
      </x:c>
      <x:c r="V42" s="87"/>
      <x:c r="W42" s="87"/>
      <x:c r="X42" s="87" t="str">
        <x:v>官方附件原文</x:v>
      </x:c>
      <x:c r="Y42" s="89" t="str"/>
      <x:c r="Z42" s="90" t="str">
        <x:v>前缀核对通过：13个候选，需人工映射</x:v>
      </x:c>
      <x:c r="AA42" s="87" t="str">
        <x:v>可入库</x:v>
      </x:c>
    </x:row>
    <x:row r="43" ht="46" customHeight="1">
      <x:c r="A43" s="87" t="n">
        <x:v>2023</x:v>
      </x:c>
      <x:c r="B43" s="87" t="str">
        <x:v>Z2023-0017</x:v>
      </x:c>
      <x:c r="C43" s="87" t="str">
        <x:v>中国归类决定(Z)</x:v>
      </x:c>
      <x:c r="D43" s="88" t="str">
        <x:v>8479.8999</x:v>
      </x:c>
      <x:c r="E43" s="88" t="str">
        <x:v>8479</x:v>
      </x:c>
      <x:c r="F43" s="88" t="str">
        <x:v>847989</x:v>
      </x:c>
      <x:c r="G43" s="88" t="str">
        <x:v>8位</x:v>
      </x:c>
      <x:c r="H43" s="87" t="str">
        <x:v>大位移量转轴式桥量伸缩装置</x:v>
      </x:c>
      <x:c r="I43" s="87"/>
      <x:c r="J43" s="87" t="str">
        <x:v>无</x:v>
      </x:c>
      <x:c r="K43" s="87" t="str">
        <x:v>该商品由横梁、支撑连杆、滑动板、滑动支座、滑动支座连接轴、橡胶密封条、转轴组成，支撑连杆可以转动，工作横梁被置于支撑连杆上。由于斜拉桥的桥梁体处于漂浮状态，梁体移动时将对支撑连杆产生作用力，支撑连杆在此力作用下发生转动，推动所有横梁移动，使大型桥梁超大位移量得以调节。该商品安装在桥体的重要部位，最大位移可达1.4米，不是桥梁或桥梁体段，而是两个桥梁体段间用来缓冲受力不均的装置。一个桥梁根据跨度可由多个桥梁体段构成，但一个桥梁所需伸缩装置的数量，则视其所起的缓冲作用而定，有的桥梁可安装两个，有的可安装三个。桥梁体段与伸缩装置不论从数量还是从作用来看并非一一配套，在外力的作用下依靠连杆机构的转动、滑动产生位移，用于实现桥梁体段间的动态实时调节。</x:v>
      </x:c>
      <x:c r="L43" s="87" t="str">
        <x:v>该商品为桥梁体段间的动态实时调节装置，根据其功能及用途，符合《税则》未列名的具有独立功能的机器描述，应归入税则号列8479.8999。</x:v>
      </x:c>
      <x:c r="M43" s="87" t="str">
        <x:v>《税则》未列名的具有独立功能的机器描述</x:v>
      </x:c>
      <x:c r="N43" s="87" t="str">
        <x:v>海关总署公告2023年第94号</x:v>
      </x:c>
      <x:c r="O43" s="87"/>
      <x:c r="P43" s="87"/>
      <x:c r="Q43" s="87" t="str">
        <x:v>未在所附2025失效清单中</x:v>
      </x:c>
      <x:c r="R43" s="87"/>
      <x:c r="S43" s="87" t="str">
        <x:v>A</x:v>
      </x:c>
      <x:c r="T43" s="87" t="str">
        <x:v>用户提供的官方公告附件</x:v>
      </x:c>
      <x:c r="U43" s="87" t="str">
        <x:v>6351691393903988.doc</x:v>
      </x:c>
      <x:c r="V43" s="87"/>
      <x:c r="W43" s="87"/>
      <x:c r="X43" s="87" t="str">
        <x:v>官方附件原文</x:v>
      </x:c>
      <x:c r="Y43" s="89" t="str"/>
      <x:c r="Z43" s="90" t="str">
        <x:v>前缀核对通过：13个候选，需人工映射</x:v>
      </x:c>
      <x:c r="AA43" s="87" t="str">
        <x:v>可入库</x:v>
      </x:c>
    </x:row>
    <x:row r="44" ht="46" customHeight="1">
      <x:c r="A44" s="87" t="n">
        <x:v>2023</x:v>
      </x:c>
      <x:c r="B44" s="87" t="str">
        <x:v>Z2023-0018</x:v>
      </x:c>
      <x:c r="C44" s="87" t="str">
        <x:v>中国归类决定(Z)</x:v>
      </x:c>
      <x:c r="D44" s="88" t="str">
        <x:v>8479.8999</x:v>
      </x:c>
      <x:c r="E44" s="88" t="str">
        <x:v>8479</x:v>
      </x:c>
      <x:c r="F44" s="88" t="str">
        <x:v>847989</x:v>
      </x:c>
      <x:c r="G44" s="88" t="str">
        <x:v>8位</x:v>
      </x:c>
      <x:c r="H44" s="87" t="str">
        <x:v>电动栅栏门用自锁装置（申报品名）</x:v>
      </x:c>
      <x:c r="I44" s="87"/>
      <x:c r="J44" s="87" t="str">
        <x:v>无</x:v>
      </x:c>
      <x:c r="K44" s="87" t="str">
        <x:v>该商品由金属制壳体和壳体内部的化纤聚酯带以及离心锁紧系统构成，是用于防止保护对象突然坠落的装置，也可用于电动栅栏门上，防护栅栏门失去控制突然坠落。该装置的外壳、钩子均为钢制，金属壳体上有金属环，化纤带长10英尺，宽1英寸，一端固定在壳体内，另一端连有金属钩。运行时，将金属壳体上的金属环连接在固定物上，将化纤带上的金属钩连接于工人身上，一旦发生坠落，化纤带快速从壳内抽出，离心锁紧装置会将化纤带卡死，防止发生人身伤害。</x:v>
      </x:c>
      <x:c r="L44" s="87" t="str">
        <x:v>该商品为具有自锁功能的防护装置，可防止人或物体突然下坠造成的伤害，符合《税则》未列名的具有独立功能的机器描述，应归入税则号列8479.8999。</x:v>
      </x:c>
      <x:c r="M44" s="87" t="str">
        <x:v>《税则》未列名的具有独立功能的机器描述</x:v>
      </x:c>
      <x:c r="N44" s="87" t="str">
        <x:v>海关总署公告2023年第94号</x:v>
      </x:c>
      <x:c r="O44" s="87"/>
      <x:c r="P44" s="87"/>
      <x:c r="Q44" s="87" t="str">
        <x:v>未在所附2025失效清单中</x:v>
      </x:c>
      <x:c r="R44" s="87"/>
      <x:c r="S44" s="87" t="str">
        <x:v>A</x:v>
      </x:c>
      <x:c r="T44" s="87" t="str">
        <x:v>用户提供的官方公告附件</x:v>
      </x:c>
      <x:c r="U44" s="87" t="str">
        <x:v>6351691393903988.doc</x:v>
      </x:c>
      <x:c r="V44" s="87"/>
      <x:c r="W44" s="87"/>
      <x:c r="X44" s="87" t="str">
        <x:v>官方附件原文</x:v>
      </x:c>
      <x:c r="Y44" s="89" t="str"/>
      <x:c r="Z44" s="90" t="str">
        <x:v>前缀核对通过：13个候选，需人工映射</x:v>
      </x:c>
      <x:c r="AA44" s="87" t="str">
        <x:v>可入库</x:v>
      </x:c>
    </x:row>
    <x:row r="45" ht="46" customHeight="1">
      <x:c r="A45" s="87" t="n">
        <x:v>2023</x:v>
      </x:c>
      <x:c r="B45" s="87" t="str">
        <x:v>Z2023-0019</x:v>
      </x:c>
      <x:c r="C45" s="87" t="str">
        <x:v>中国归类决定(Z)</x:v>
      </x:c>
      <x:c r="D45" s="88" t="str">
        <x:v>8479.8999</x:v>
      </x:c>
      <x:c r="E45" s="88" t="str">
        <x:v>8479</x:v>
      </x:c>
      <x:c r="F45" s="88" t="str">
        <x:v>847989</x:v>
      </x:c>
      <x:c r="G45" s="88" t="str">
        <x:v>8位</x:v>
      </x:c>
      <x:c r="H45" s="87" t="str">
        <x:v>透析器复用处理系统</x:v>
      </x:c>
      <x:c r="I45" s="87"/>
      <x:c r="J45" s="87" t="str">
        <x:v>无</x:v>
      </x:c>
      <x:c r="K45" s="87" t="str">
        <x:v>该商品由安装于同一机壳内的透析器复用机、数据接口模块、标签打印机、消毒盘、条形码扫描仪等组成，用于医院血液透析室对中空纤维血液透析器进行清洁、消毒、检测等复用处理，利用电磁阀控制反渗水的流向和流量从而实现对透析器的清洁，并利用虹吸原理吸取消毒液对透析器进行消毒。其工作流程为：自动清洁、测试，并可以将按比例配置好的消毒液传输给透析器，其消毒功能靠消毒剂完成，机器本身无消毒功能。消毒完成后，该系统将透析器血液仓的灌注容量和预定（灌注）容量进行比较，对血液仓和透析液仓进行压力泄漏测试。如果透析器的血液仓容量测试或者压力泄漏测试结果不符合要求，该系统将会自动停止工作，并且发出声光报警。</x:v>
      </x:c>
      <x:c r="L45" s="87" t="str">
        <x:v>该商品为具有清洁、消毒、检测功能的复用处理系统， 根据其功能及用途，中空纤维血液透析器并非容器，该设备不能按容器的洗涤机器归入《税则》税目84.22项下。由于该设备的主要功能为清洗消毒，根据《税则》第十六类类注三，以及归类总规则一和六，应归入税则号列8479.8999。</x:v>
      </x:c>
      <x:c r="M45" s="87" t="str">
        <x:v>归类总规则一和六；《税则》税目84.22项下；《税则》第十六类类注三</x:v>
      </x:c>
      <x:c r="N45" s="87" t="str">
        <x:v>海关总署公告2023年第94号</x:v>
      </x:c>
      <x:c r="O45" s="87"/>
      <x:c r="P45" s="87"/>
      <x:c r="Q45" s="87" t="str">
        <x:v>未在所附2025失效清单中</x:v>
      </x:c>
      <x:c r="R45" s="87"/>
      <x:c r="S45" s="87" t="str">
        <x:v>A</x:v>
      </x:c>
      <x:c r="T45" s="87" t="str">
        <x:v>用户提供的官方公告附件</x:v>
      </x:c>
      <x:c r="U45" s="87" t="str">
        <x:v>6351691393903988.doc</x:v>
      </x:c>
      <x:c r="V45" s="87"/>
      <x:c r="W45" s="87"/>
      <x:c r="X45" s="87" t="str">
        <x:v>官方附件原文</x:v>
      </x:c>
      <x:c r="Y45" s="89" t="str"/>
      <x:c r="Z45" s="90" t="str">
        <x:v>前缀核对通过：13个候选，需人工映射</x:v>
      </x:c>
      <x:c r="AA45" s="87" t="str">
        <x:v>可入库</x:v>
      </x:c>
    </x:row>
    <x:row r="46" ht="46" customHeight="1">
      <x:c r="A46" s="87" t="n">
        <x:v>2023</x:v>
      </x:c>
      <x:c r="B46" s="87" t="str">
        <x:v>Z2023-0020</x:v>
      </x:c>
      <x:c r="C46" s="87" t="str">
        <x:v>中国归类决定(Z)</x:v>
      </x:c>
      <x:c r="D46" s="88" t="str">
        <x:v>8479.8999</x:v>
      </x:c>
      <x:c r="E46" s="88" t="str">
        <x:v>8479</x:v>
      </x:c>
      <x:c r="F46" s="88" t="str">
        <x:v>847989</x:v>
      </x:c>
      <x:c r="G46" s="88" t="str">
        <x:v>8位</x:v>
      </x:c>
      <x:c r="H46" s="87" t="str">
        <x:v>全自动血液成分分离机</x:v>
      </x:c>
      <x:c r="I46" s="87"/>
      <x:c r="J46" s="87" t="str">
        <x:v>无</x:v>
      </x:c>
      <x:c r="K46" s="87" t="str">
        <x:v>该商品由控制面板、探测器、血袋挂钩、上下挤压板、分隔板、压力金属门、红细胞秤、血小板/血奖秤及探测、控制等电路组成，用于实现分层的血液中的各种成分（如血浆、红细胞等）进行分离（商品本身不带有离心机）。运行原理为：经离心机将血袋中的全血分离成血浆层、白膜层、红细胞层，再将已分层的血袋放进分离机系统挂钩上，关上压力金属门，通过外接的压缩机产生的压缩空气，推动汽缸驱动上挤压板、分隔板、下挤压板挤压血袋，血袋中的上层的血浆经管道流入单独的血浆袋中，随着不断的挤压，血袋中的白膜层不断上移，当上移到分隔板的位置时（由探测器测定），分隔板自动推出，将血浆层、红细胞层完全分隔，并在上挤压板的作用下，将血袋上层的血浆完全挤压流入到单独的血浆袋中。</x:v>
      </x:c>
      <x:c r="L46" s="87" t="str">
        <x:v>该商品为具有分离血液成分功能的设备，根据其构成、运行原理及用途，该商品不属于专门用于疾病的预防、诊断、医治或手术治疗的仪器，且该功能在《税则》中无列名，符合税目84.79及其子目条文的描述，根据归类总规则一及六，应归入税则号列8479.8999。</x:v>
      </x:c>
      <x:c r="M46" s="87" t="str">
        <x:v>归类总规则一及六；《税则》中无列名</x:v>
      </x:c>
      <x:c r="N46" s="87" t="str">
        <x:v>海关总署公告2023年第94号</x:v>
      </x:c>
      <x:c r="O46" s="87"/>
      <x:c r="P46" s="87"/>
      <x:c r="Q46" s="87" t="str">
        <x:v>未在所附2025失效清单中</x:v>
      </x:c>
      <x:c r="R46" s="87"/>
      <x:c r="S46" s="87" t="str">
        <x:v>A</x:v>
      </x:c>
      <x:c r="T46" s="87" t="str">
        <x:v>用户提供的官方公告附件</x:v>
      </x:c>
      <x:c r="U46" s="87" t="str">
        <x:v>6351691393903988.doc</x:v>
      </x:c>
      <x:c r="V46" s="87"/>
      <x:c r="W46" s="87"/>
      <x:c r="X46" s="87" t="str">
        <x:v>官方附件原文</x:v>
      </x:c>
      <x:c r="Y46" s="89" t="str"/>
      <x:c r="Z46" s="90" t="str">
        <x:v>前缀核对通过：13个候选，需人工映射</x:v>
      </x:c>
      <x:c r="AA46" s="87" t="str">
        <x:v>可入库</x:v>
      </x:c>
    </x:row>
    <x:row r="47" ht="46" customHeight="1">
      <x:c r="A47" s="87" t="n">
        <x:v>2023</x:v>
      </x:c>
      <x:c r="B47" s="87" t="str">
        <x:v>Z2023-0021</x:v>
      </x:c>
      <x:c r="C47" s="87" t="str">
        <x:v>中国归类决定(Z)</x:v>
      </x:c>
      <x:c r="D47" s="88" t="str">
        <x:v>8479.8999</x:v>
      </x:c>
      <x:c r="E47" s="88" t="str">
        <x:v>8479</x:v>
      </x:c>
      <x:c r="F47" s="88" t="str">
        <x:v>847989</x:v>
      </x:c>
      <x:c r="G47" s="88" t="str">
        <x:v>8位</x:v>
      </x:c>
      <x:c r="H47" s="87" t="str">
        <x:v>联体垃圾压缩箱</x:v>
      </x:c>
      <x:c r="I47" s="87"/>
      <x:c r="J47" s="87" t="str">
        <x:v>无</x:v>
      </x:c>
      <x:c r="K47" s="87" t="str">
        <x:v>该商品由箱体与液压压实装置组成，用于压缩、收集垃圾，运行原理为：将垃圾倒入压缩机箱压缩装置中，启动压缩机对垃圾进行压缩处理，然后将垃圾压入箱体中。该垃圾压缩箱采用微处理器控制，液晶显示屏显示工作状态，当箱体压满垃圾后，系统会出现报警提示。该商品采用压缩机头和箱体两部分合二为一的连体结构，在收集、压缩及转运垃圾的过程中不分离。</x:v>
      </x:c>
      <x:c r="L47" s="87" t="str">
        <x:v>该商品为具有压缩、收集垃圾的设备，须由钩臂车将其转运至焚烧厂或填埋厂，其本身不具备搬运功能，该商品符合《税则》税目84.79及其子目条文的描述，根据归类总规则一及六，应归入税则号列8479.8999。</x:v>
      </x:c>
      <x:c r="M47" s="87" t="str">
        <x:v>归类总规则一及六；《税则》税目84.79及其子目条文的描述</x:v>
      </x:c>
      <x:c r="N47" s="87" t="str">
        <x:v>海关总署公告2023年第94号</x:v>
      </x:c>
      <x:c r="O47" s="87"/>
      <x:c r="P47" s="87"/>
      <x:c r="Q47" s="87" t="str">
        <x:v>未在所附2025失效清单中</x:v>
      </x:c>
      <x:c r="R47" s="87"/>
      <x:c r="S47" s="87" t="str">
        <x:v>A</x:v>
      </x:c>
      <x:c r="T47" s="87" t="str">
        <x:v>用户提供的官方公告附件</x:v>
      </x:c>
      <x:c r="U47" s="87" t="str">
        <x:v>6351691393903988.doc</x:v>
      </x:c>
      <x:c r="V47" s="87"/>
      <x:c r="W47" s="87"/>
      <x:c r="X47" s="87" t="str">
        <x:v>官方附件原文</x:v>
      </x:c>
      <x:c r="Y47" s="89" t="str"/>
      <x:c r="Z47" s="90" t="str">
        <x:v>前缀核对通过：13个候选，需人工映射</x:v>
      </x:c>
      <x:c r="AA47" s="87" t="str">
        <x:v>可入库</x:v>
      </x:c>
    </x:row>
    <x:row r="48" ht="46" customHeight="1">
      <x:c r="A48" s="87" t="n">
        <x:v>2023</x:v>
      </x:c>
      <x:c r="B48" s="87" t="str">
        <x:v>Z2023-0022</x:v>
      </x:c>
      <x:c r="C48" s="87" t="str">
        <x:v>中国归类决定(Z)</x:v>
      </x:c>
      <x:c r="D48" s="88" t="str">
        <x:v>8479.8999</x:v>
      </x:c>
      <x:c r="E48" s="88" t="str">
        <x:v>8479</x:v>
      </x:c>
      <x:c r="F48" s="88" t="str">
        <x:v>847989</x:v>
      </x:c>
      <x:c r="G48" s="88" t="str">
        <x:v>8位</x:v>
      </x:c>
      <x:c r="H48" s="87" t="str">
        <x:v>采油机械封隔器</x:v>
      </x:c>
      <x:c r="I48" s="87"/>
      <x:c r="J48" s="87" t="str">
        <x:v>无</x:v>
      </x:c>
      <x:c r="K48" s="87" t="str">
        <x:v>该商品是一种采油过程中使用的装置，由封隔器本体、卡瓦、胶筒组成，用于油气井的井下生产、注水或油气层的封隔，也可作为油气井底的底部生产封隔和永久或临时的桥塞。封隔器本体是一根钢制空心管，上下外围分别连接卡瓦，中间外围位置连接胶筒，封隔器两端分别与油管连接形成一条生产管柱，沿套管（完成钻井后为防止塌方，固定在井壁的管道）由上向下滑动，到达井下设计位置。封隔器坐封后，卡瓦紧咬套管内壁使封隔器固定在指定位置不动，封隔器中间胶筒因压缩变形膨胀紧贴套管内壁隔离上面的水和下面的油，油因受地层压力向上自喷，从油管内向地面输出。</x:v>
      </x:c>
      <x:c r="L48" s="87" t="str">
        <x:v>该商品为具有封隔、桥塞功能的采油过程中使用的装置，根据该设备构成、运行原理和用途，不属于《税则》税目84.30所列采油机械或税目84.84所列机械密封件，符合《税则》税目84.79的商品描述，根据归类总规则一及六，应归入税则号列8479.8999。</x:v>
      </x:c>
      <x:c r="M48" s="87" t="str">
        <x:v>归类总规则一及六；《税则》税目84.30所列采油机械或税目84.84所列机械密封件；《税则》税目84.79的商品描述</x:v>
      </x:c>
      <x:c r="N48" s="87" t="str">
        <x:v>海关总署公告2023年第94号</x:v>
      </x:c>
      <x:c r="O48" s="87"/>
      <x:c r="P48" s="87"/>
      <x:c r="Q48" s="87" t="str">
        <x:v>未在所附2025失效清单中</x:v>
      </x:c>
      <x:c r="R48" s="87"/>
      <x:c r="S48" s="87" t="str">
        <x:v>A</x:v>
      </x:c>
      <x:c r="T48" s="87" t="str">
        <x:v>用户提供的官方公告附件</x:v>
      </x:c>
      <x:c r="U48" s="87" t="str">
        <x:v>6351691393903988.doc</x:v>
      </x:c>
      <x:c r="V48" s="87"/>
      <x:c r="W48" s="87"/>
      <x:c r="X48" s="87" t="str">
        <x:v>官方附件原文</x:v>
      </x:c>
      <x:c r="Y48" s="89" t="str"/>
      <x:c r="Z48" s="90" t="str">
        <x:v>前缀核对通过：13个候选，需人工映射</x:v>
      </x:c>
      <x:c r="AA48" s="87" t="str">
        <x:v>可入库</x:v>
      </x:c>
    </x:row>
    <x:row r="49" ht="46" customHeight="1">
      <x:c r="A49" s="87" t="n">
        <x:v>2023</x:v>
      </x:c>
      <x:c r="B49" s="87" t="str">
        <x:v>Z2023-0023</x:v>
      </x:c>
      <x:c r="C49" s="87" t="str">
        <x:v>中国归类决定(Z)</x:v>
      </x:c>
      <x:c r="D49" s="88" t="str">
        <x:v>8479.8999</x:v>
      </x:c>
      <x:c r="E49" s="88" t="str">
        <x:v>8479</x:v>
      </x:c>
      <x:c r="F49" s="88" t="str">
        <x:v>847989</x:v>
      </x:c>
      <x:c r="G49" s="88" t="str">
        <x:v>8位</x:v>
      </x:c>
      <x:c r="H49" s="87" t="str">
        <x:v>烫金机</x:v>
      </x:c>
      <x:c r="I49" s="87"/>
      <x:c r="J49" s="87" t="str">
        <x:v>型号：AC-3</x:v>
      </x:c>
      <x:c r="K49" s="87" t="str">
        <x:v>该商品由控制面板、有凹凸的矽胶版、卷箔杆、底座等组成，用于烫印胶版、皮革、钢板、纸版等物品。其工作流程为：在机器达到适当温度时，将矽胶版下压，将烫金箔压至被烫物上，此时烫金箔底胶融化，产生粘性，粘贴于被烫物上，矽胶版抬起后，烫金箔着色层、底胶附着于被烫物上，PET膜则被分离。</x:v>
      </x:c>
      <x:c r="L49" s="87" t="str">
        <x:v>该商品为用于烫印胶板、皮革、钢板、纸板等物品的设备，根据该商品设备构成、运行原理和用途（矽胶版加热后与烫金箔接触，将烫金箔上的色料通过矽胶版凸处加热转印到待处理的材料上），工作部件不属于《税则》税目84.42的印刷部件，也不符合《税则》税目84.43的商品描述，该商品功能在《税则》中未具体列名，符合税目84.79的商品描述，根据归类总规则一及六，应归入税则号列8479.8999。</x:v>
      </x:c>
      <x:c r="M49" s="87" t="str">
        <x:v>归类总规则一及六；《税则》税目84.42的印刷部件；《税则》税目84.43的商品描述；《税则》中未具体列名</x:v>
      </x:c>
      <x:c r="N49" s="87" t="str">
        <x:v>海关总署公告2023年第94号</x:v>
      </x:c>
      <x:c r="O49" s="87"/>
      <x:c r="P49" s="87"/>
      <x:c r="Q49" s="87" t="str">
        <x:v>未在所附2025失效清单中</x:v>
      </x:c>
      <x:c r="R49" s="87"/>
      <x:c r="S49" s="87" t="str">
        <x:v>A</x:v>
      </x:c>
      <x:c r="T49" s="87" t="str">
        <x:v>用户提供的官方公告附件</x:v>
      </x:c>
      <x:c r="U49" s="87" t="str">
        <x:v>6351691393903988.doc</x:v>
      </x:c>
      <x:c r="V49" s="87"/>
      <x:c r="W49" s="87"/>
      <x:c r="X49" s="87" t="str">
        <x:v>官方附件原文</x:v>
      </x:c>
      <x:c r="Y49" s="89" t="str"/>
      <x:c r="Z49" s="90" t="str">
        <x:v>前缀核对通过：13个候选，需人工映射</x:v>
      </x:c>
      <x:c r="AA49" s="87" t="str">
        <x:v>可入库</x:v>
      </x:c>
    </x:row>
    <x:row r="50" ht="46" customHeight="1">
      <x:c r="A50" s="87" t="n">
        <x:v>2023</x:v>
      </x:c>
      <x:c r="B50" s="87" t="str">
        <x:v>Z2023-0024</x:v>
      </x:c>
      <x:c r="C50" s="87" t="str">
        <x:v>中国归类决定(Z)</x:v>
      </x:c>
      <x:c r="D50" s="88" t="str">
        <x:v>8479.8999</x:v>
      </x:c>
      <x:c r="E50" s="88" t="str">
        <x:v>8479</x:v>
      </x:c>
      <x:c r="F50" s="88" t="str">
        <x:v>847989</x:v>
      </x:c>
      <x:c r="G50" s="88" t="str">
        <x:v>8位</x:v>
      </x:c>
      <x:c r="H50" s="87" t="str">
        <x:v>压力水柜</x:v>
      </x:c>
      <x:c r="I50" s="87"/>
      <x:c r="J50" s="87" t="str">
        <x:v>无</x:v>
      </x:c>
      <x:c r="K50" s="87" t="str">
        <x:v>该商品由一个储水的容器及泵、阀、压力表等焊接而成，储水量为0.4立方米，供水压力为0.25-0.4兆帕，用于在船舶及钻井平台上提供用水。运行时首先启动水柜上附设的供水泵向柜内注水，直至液位计玻璃管上见到水位后停止水泵注水，启动压缩机通过充气阀向柜内充气，待压力表指针至0.25兆帕时停止充气，重新启动水泵向柜内供水，压力表指针至0.4兆帕时，压力继电器工作使电机断电，水泵停止工作，柜内压力随着用水而使压力降至0.25兆帕时，压力控制器重新工作，启动电机，水泵恢复供水。</x:v>
      </x:c>
      <x:c r="L50" s="87" t="str">
        <x:v>该商品为用于船舶及钻井平台的压力供水设备，该压力水柜本身并非浮动结构，不符合《税则》税目89.07的描述，同时该商品已将泵焊接在柜体上，根据《税则注释》对品目73.09的描述“装有搅拌器、加热或冷却管、电器元件等机械或热力装置的容器应归入第八十四章或第八十五章”，不能作为储水柜归入税目73.09，该商品通过泵向柜体填装水，同时通过其充气构造为出水提供压力，其功能在《税则》中无具体列名，符合税目84.79的商品描述，根据归类总规则一及六，应归入税则号列8479.8999。</x:v>
      </x:c>
      <x:c r="M50" s="87" t="str">
        <x:v>归类总规则一及六；《税则》税目89.07的描述；《税则注释》对品目73.09的描述“装有搅拌器、加热或冷却管、电器元件等机械或热力装置的容器应归入第八；《税则》中无具体列名</x:v>
      </x:c>
      <x:c r="N50" s="87" t="str">
        <x:v>海关总署公告2023年第94号</x:v>
      </x:c>
      <x:c r="O50" s="87"/>
      <x:c r="P50" s="87"/>
      <x:c r="Q50" s="87" t="str">
        <x:v>未在所附2025失效清单中</x:v>
      </x:c>
      <x:c r="R50" s="87"/>
      <x:c r="S50" s="87" t="str">
        <x:v>A</x:v>
      </x:c>
      <x:c r="T50" s="87" t="str">
        <x:v>用户提供的官方公告附件</x:v>
      </x:c>
      <x:c r="U50" s="87" t="str">
        <x:v>6351691393903988.doc</x:v>
      </x:c>
      <x:c r="V50" s="87"/>
      <x:c r="W50" s="87"/>
      <x:c r="X50" s="87" t="str">
        <x:v>官方附件原文</x:v>
      </x:c>
      <x:c r="Y50" s="89" t="str"/>
      <x:c r="Z50" s="90" t="str">
        <x:v>前缀核对通过：13个候选，需人工映射</x:v>
      </x:c>
      <x:c r="AA50" s="87" t="str">
        <x:v>可入库</x:v>
      </x:c>
    </x:row>
    <x:row r="51" ht="46" customHeight="1">
      <x:c r="A51" s="87" t="n">
        <x:v>2023</x:v>
      </x:c>
      <x:c r="B51" s="87" t="str">
        <x:v>Z2023-0025</x:v>
      </x:c>
      <x:c r="C51" s="87" t="str">
        <x:v>中国归类决定(Z)</x:v>
      </x:c>
      <x:c r="D51" s="88" t="str">
        <x:v>8507.6000</x:v>
      </x:c>
      <x:c r="E51" s="88" t="str">
        <x:v>8507</x:v>
      </x:c>
      <x:c r="F51" s="88" t="str">
        <x:v>850760</x:v>
      </x:c>
      <x:c r="G51" s="88" t="str">
        <x:v>8位</x:v>
      </x:c>
      <x:c r="H51" s="87" t="str">
        <x:v>锂离子充电电池芯</x:v>
      </x:c>
      <x:c r="I51" s="87"/>
      <x:c r="J51" s="87" t="str">
        <x:v>无</x:v>
      </x:c>
      <x:c r="K51" s="87" t="str">
        <x:v>该商品呈长方形块状，不锈钢外壳，由正负极极片、隔膜、极耳、包装膜、电解液等组成，用于与充放电保护电路板、五金或塑料外壳组成锂离子充电电池，是电池的主要部件。该商品未配带充放电保护电路，不能进行充电及放电。</x:v>
      </x:c>
      <x:c r="L51" s="87" t="str">
        <x:v>该电池芯是电池的主要部件，已构成锂离子充电电池整机基本特征，根据归类总规则二（一），应归入税则号列8507.6000。</x:v>
      </x:c>
      <x:c r="M51" s="87" t="str">
        <x:v>归类总规则二（一）</x:v>
      </x:c>
      <x:c r="N51" s="87" t="str">
        <x:v>海关总署公告2023年第94号</x:v>
      </x:c>
      <x:c r="O51" s="87"/>
      <x:c r="P51" s="87"/>
      <x:c r="Q51" s="87" t="str">
        <x:v>未在所附2025失效清单中</x:v>
      </x:c>
      <x:c r="R51" s="87"/>
      <x:c r="S51" s="87" t="str">
        <x:v>A</x:v>
      </x:c>
      <x:c r="T51" s="87" t="str">
        <x:v>用户提供的官方公告附件</x:v>
      </x:c>
      <x:c r="U51" s="87" t="str">
        <x:v>6351691393903988.doc</x:v>
      </x:c>
      <x:c r="V51" s="87"/>
      <x:c r="W51" s="87"/>
      <x:c r="X51" s="87" t="str">
        <x:v>官方附件原文</x:v>
      </x:c>
      <x:c r="Y51" s="89" t="str"/>
      <x:c r="Z51" s="90" t="str">
        <x:v>前缀核对通过：3个候选，需人工映射</x:v>
      </x:c>
      <x:c r="AA51" s="87" t="str">
        <x:v>可入库</x:v>
      </x:c>
    </x:row>
    <x:row r="52" ht="46" customHeight="1">
      <x:c r="A52" s="87" t="n">
        <x:v>2023</x:v>
      </x:c>
      <x:c r="B52" s="87" t="str">
        <x:v>Z2023-0026</x:v>
      </x:c>
      <x:c r="C52" s="87" t="str">
        <x:v>中国归类决定(Z)</x:v>
      </x:c>
      <x:c r="D52" s="88" t="str">
        <x:v>8705.9099</x:v>
      </x:c>
      <x:c r="E52" s="88" t="str">
        <x:v>8705</x:v>
      </x:c>
      <x:c r="F52" s="88" t="str">
        <x:v>870590</x:v>
      </x:c>
      <x:c r="G52" s="88" t="str">
        <x:v>8位</x:v>
      </x:c>
      <x:c r="H52" s="87" t="str">
        <x:v>马基路斯智能云梯车</x:v>
      </x:c>
      <x:c r="I52" s="87"/>
      <x:c r="J52" s="87" t="str">
        <x:v>型号：DLK52CC</x:v>
      </x:c>
      <x:c r="K52" s="87" t="str">
        <x:v>该商品由依维柯260E34汽车底盘（含驾驶室）、装载升降机、云梯等组成，用于高层建筑消防。运行原理为：升降机通过液压缸作用，实现云梯的伸缩，云梯工作高度可达53米。</x:v>
      </x:c>
      <x:c r="L52" s="87" t="str">
        <x:v>该商品为具有云梯的专有用途车辆，云梯车并非救火车，按照《税则注释》的规定，应按其他特种车归类，应归入税则号列8705.9099。</x:v>
      </x:c>
      <x:c r="M52" s="87" t="str">
        <x:v>《税则注释》的规定</x:v>
      </x:c>
      <x:c r="N52" s="87" t="str">
        <x:v>海关总署公告2023年第94号</x:v>
      </x:c>
      <x:c r="O52" s="87"/>
      <x:c r="P52" s="87"/>
      <x:c r="Q52" s="87" t="str">
        <x:v>未在所附2025失效清单中</x:v>
      </x:c>
      <x:c r="R52" s="87"/>
      <x:c r="S52" s="87" t="str">
        <x:v>A</x:v>
      </x:c>
      <x:c r="T52" s="87" t="str">
        <x:v>用户提供的官方公告附件</x:v>
      </x:c>
      <x:c r="U52" s="87" t="str">
        <x:v>6351691393903988.doc</x:v>
      </x:c>
      <x:c r="V52" s="87"/>
      <x:c r="W52" s="87"/>
      <x:c r="X52" s="87" t="str">
        <x:v>官方附件原文</x:v>
      </x:c>
      <x:c r="Y52" s="89" t="str"/>
      <x:c r="Z52" s="90" t="str">
        <x:v>前缀核对通过：2个候选，需人工映射</x:v>
      </x:c>
      <x:c r="AA52" s="87" t="str">
        <x:v>可入库</x:v>
      </x:c>
    </x:row>
    <x:row r="53" ht="46" customHeight="1">
      <x:c r="A53" s="87" t="n">
        <x:v>2023</x:v>
      </x:c>
      <x:c r="B53" s="87" t="str">
        <x:v>Z2023-0027</x:v>
      </x:c>
      <x:c r="C53" s="87" t="str">
        <x:v>中国归类决定(Z)</x:v>
      </x:c>
      <x:c r="D53" s="88" t="str">
        <x:v>8705.9099</x:v>
      </x:c>
      <x:c r="E53" s="88" t="str">
        <x:v>8705</x:v>
      </x:c>
      <x:c r="F53" s="88" t="str">
        <x:v>870590</x:v>
      </x:c>
      <x:c r="G53" s="88" t="str">
        <x:v>8位</x:v>
      </x:c>
      <x:c r="H53" s="87" t="str">
        <x:v>改装沙漠续油车</x:v>
      </x:c>
      <x:c r="I53" s="87"/>
      <x:c r="J53" s="87" t="str">
        <x:v>无</x:v>
      </x:c>
      <x:c r="K53" s="87" t="str">
        <x:v>该商品由man33.373dfaca6×6-f2000型专用底盘、废气加热装置、加油装置及备胎支架组成，用于对地震勘探用可控震源的连续加油、加气。运行原理为：通过泵送系统完成加油、加气。</x:v>
      </x:c>
      <x:c r="L53" s="87" t="str">
        <x:v>该商品为具有加油、加气功能的专有用途车辆，符合《税则注释》关于特种车辆的有关规定，应归入税则号列8705.9099。</x:v>
      </x:c>
      <x:c r="M53" s="87" t="str">
        <x:v>《税则注释》关于特种车辆的有关规定</x:v>
      </x:c>
      <x:c r="N53" s="87" t="str">
        <x:v>海关总署公告2023年第94号</x:v>
      </x:c>
      <x:c r="O53" s="87"/>
      <x:c r="P53" s="87"/>
      <x:c r="Q53" s="87" t="str">
        <x:v>未在所附2025失效清单中</x:v>
      </x:c>
      <x:c r="R53" s="87"/>
      <x:c r="S53" s="87" t="str">
        <x:v>A</x:v>
      </x:c>
      <x:c r="T53" s="87" t="str">
        <x:v>用户提供的官方公告附件</x:v>
      </x:c>
      <x:c r="U53" s="87" t="str">
        <x:v>6351691393903988.doc</x:v>
      </x:c>
      <x:c r="V53" s="87"/>
      <x:c r="W53" s="87"/>
      <x:c r="X53" s="87" t="str">
        <x:v>官方附件原文</x:v>
      </x:c>
      <x:c r="Y53" s="89" t="str"/>
      <x:c r="Z53" s="90" t="str">
        <x:v>前缀核对通过：2个候选，需人工映射</x:v>
      </x:c>
      <x:c r="AA53" s="87" t="str">
        <x:v>可入库</x:v>
      </x:c>
    </x:row>
    <x:row r="54" ht="46" customHeight="1">
      <x:c r="A54" s="87" t="n">
        <x:v>2023</x:v>
      </x:c>
      <x:c r="B54" s="87" t="str">
        <x:v>Z2023-0028</x:v>
      </x:c>
      <x:c r="C54" s="87" t="str">
        <x:v>中国归类决定(Z)</x:v>
      </x:c>
      <x:c r="D54" s="88" t="str">
        <x:v>8705.9099</x:v>
      </x:c>
      <x:c r="E54" s="88" t="str">
        <x:v>8705</x:v>
      </x:c>
      <x:c r="F54" s="88" t="str">
        <x:v>870590</x:v>
      </x:c>
      <x:c r="G54" s="88" t="str">
        <x:v>8位</x:v>
      </x:c>
      <x:c r="H54" s="87" t="str">
        <x:v>电视转播车</x:v>
      </x:c>
      <x:c r="I54" s="87"/>
      <x:c r="J54" s="87" t="str">
        <x:v>无</x:v>
      </x:c>
      <x:c r="K54" s="87" t="str">
        <x:v>该商品由MAN 26.364FNLC/L机动车改装而成，对厢体进行结构化布线和安装外终端盒及各种接口，车厢内分为电缆设备、技术、音响、导演工作区，装配有演播台、监视器、调音台、录像机、编辑机、功率放大器、配电柜、稳压电源等设备，用于实现流动电视台转播间的功能，可在远离电视中心进行现场录像、现场编辑工作，并能即时向电视中心传送所录制的节目。</x:v>
      </x:c>
      <x:c r="L54" s="87" t="str">
        <x:v>该商品为具有电视台转播功能的专有用途车辆，符合《税则注释》关于特种车辆的有关规定，应归入税则号列8705.9099。</x:v>
      </x:c>
      <x:c r="M54" s="87" t="str">
        <x:v>《税则注释》关于特种车辆的有关规定</x:v>
      </x:c>
      <x:c r="N54" s="87" t="str">
        <x:v>海关总署公告2023年第94号</x:v>
      </x:c>
      <x:c r="O54" s="87"/>
      <x:c r="P54" s="87"/>
      <x:c r="Q54" s="87" t="str">
        <x:v>未在所附2025失效清单中</x:v>
      </x:c>
      <x:c r="R54" s="87"/>
      <x:c r="S54" s="87" t="str">
        <x:v>A</x:v>
      </x:c>
      <x:c r="T54" s="87" t="str">
        <x:v>用户提供的官方公告附件</x:v>
      </x:c>
      <x:c r="U54" s="87" t="str">
        <x:v>6351691393903988.doc</x:v>
      </x:c>
      <x:c r="V54" s="87"/>
      <x:c r="W54" s="87"/>
      <x:c r="X54" s="87" t="str">
        <x:v>官方附件原文</x:v>
      </x:c>
      <x:c r="Y54" s="89" t="str"/>
      <x:c r="Z54" s="90" t="str">
        <x:v>前缀核对通过：2个候选，需人工映射</x:v>
      </x:c>
      <x:c r="AA54" s="87" t="str">
        <x:v>可入库</x:v>
      </x:c>
    </x:row>
    <x:row r="55" ht="46" customHeight="1">
      <x:c r="A55" s="87" t="n">
        <x:v>2023</x:v>
      </x:c>
      <x:c r="B55" s="87" t="str">
        <x:v>Z2023-0029</x:v>
      </x:c>
      <x:c r="C55" s="87" t="str">
        <x:v>中国归类决定(Z)</x:v>
      </x:c>
      <x:c r="D55" s="88" t="str">
        <x:v>8705.9099</x:v>
      </x:c>
      <x:c r="E55" s="88" t="str">
        <x:v>8705</x:v>
      </x:c>
      <x:c r="F55" s="88" t="str">
        <x:v>870590</x:v>
      </x:c>
      <x:c r="G55" s="88" t="str">
        <x:v>8位</x:v>
      </x:c>
      <x:c r="H55" s="87" t="str">
        <x:v>清扫车</x:v>
      </x:c>
      <x:c r="I55" s="87"/>
      <x:c r="J55" s="87" t="str">
        <x:v>无</x:v>
      </x:c>
      <x:c r="K55" s="87" t="str">
        <x:v>该商品由汽车底盘和负压吸尘装置组成，用于工作场所除尘，并对收集物进行过滤分离处理，运行原理为：利用吸力将废气吸入负压吸尘装置，进行过滤分离处理。</x:v>
      </x:c>
      <x:c r="L55" s="87" t="str">
        <x:v>该商品为具有除尘、过滤分离处理功能的专有用途车辆，符合《税则注释》关于特种车辆的有关规定，应归入税则号列8705.9099。</x:v>
      </x:c>
      <x:c r="M55" s="87" t="str">
        <x:v>《税则注释》关于特种车辆的有关规定</x:v>
      </x:c>
      <x:c r="N55" s="87" t="str">
        <x:v>海关总署公告2023年第94号</x:v>
      </x:c>
      <x:c r="O55" s="87"/>
      <x:c r="P55" s="87"/>
      <x:c r="Q55" s="87" t="str">
        <x:v>未在所附2025失效清单中</x:v>
      </x:c>
      <x:c r="R55" s="87"/>
      <x:c r="S55" s="87" t="str">
        <x:v>A</x:v>
      </x:c>
      <x:c r="T55" s="87" t="str">
        <x:v>用户提供的官方公告附件</x:v>
      </x:c>
      <x:c r="U55" s="87" t="str">
        <x:v>6351691393903988.doc</x:v>
      </x:c>
      <x:c r="V55" s="87"/>
      <x:c r="W55" s="87"/>
      <x:c r="X55" s="87" t="str">
        <x:v>官方附件原文</x:v>
      </x:c>
      <x:c r="Y55" s="89" t="str"/>
      <x:c r="Z55" s="90" t="str">
        <x:v>前缀核对通过：2个候选，需人工映射</x:v>
      </x:c>
      <x:c r="AA55" s="87" t="str">
        <x:v>可入库</x:v>
      </x:c>
    </x:row>
    <x:row r="56" ht="46" customHeight="1">
      <x:c r="A56" s="87" t="n">
        <x:v>2023</x:v>
      </x:c>
      <x:c r="B56" s="87" t="str">
        <x:v>Z2023-0030</x:v>
      </x:c>
      <x:c r="C56" s="87" t="str">
        <x:v>中国归类决定(Z)</x:v>
      </x:c>
      <x:c r="D56" s="88" t="str">
        <x:v>8705.9099</x:v>
      </x:c>
      <x:c r="E56" s="88" t="str">
        <x:v>8705</x:v>
      </x:c>
      <x:c r="F56" s="88" t="str">
        <x:v>870590</x:v>
      </x:c>
      <x:c r="G56" s="88" t="str">
        <x:v>8位</x:v>
      </x:c>
      <x:c r="H56" s="87" t="str">
        <x:v>交通管理车</x:v>
      </x:c>
      <x:c r="I56" s="87"/>
      <x:c r="J56" s="87" t="str">
        <x:v>无</x:v>
      </x:c>
      <x:c r="K56" s="87" t="str">
        <x:v>该商品由普通乘用车改装而成，车内装有计算机，车顶装有高亮度发光二极管所组成的大面积显示板、长条方向显示灯，运用发光二极管发光原理工作，用于标志公路故障状况，从而协助相关部门进行公路检修、抢险、排障。</x:v>
      </x:c>
      <x:c r="L56" s="87" t="str">
        <x:v>该商品为具有标志公路故障功能的专有用途车辆，符合《税则注释》关于特种车辆的有关规定，应归入税则号列8705.9099。</x:v>
      </x:c>
      <x:c r="M56" s="87" t="str">
        <x:v>《税则注释》关于特种车辆的有关规定</x:v>
      </x:c>
      <x:c r="N56" s="87" t="str">
        <x:v>海关总署公告2023年第94号</x:v>
      </x:c>
      <x:c r="O56" s="87"/>
      <x:c r="P56" s="87"/>
      <x:c r="Q56" s="87" t="str">
        <x:v>未在所附2025失效清单中</x:v>
      </x:c>
      <x:c r="R56" s="87"/>
      <x:c r="S56" s="87" t="str">
        <x:v>A</x:v>
      </x:c>
      <x:c r="T56" s="87" t="str">
        <x:v>用户提供的官方公告附件</x:v>
      </x:c>
      <x:c r="U56" s="87" t="str">
        <x:v>6351691393903988.doc</x:v>
      </x:c>
      <x:c r="V56" s="87"/>
      <x:c r="W56" s="87"/>
      <x:c r="X56" s="87" t="str">
        <x:v>官方附件原文</x:v>
      </x:c>
      <x:c r="Y56" s="89" t="str"/>
      <x:c r="Z56" s="90" t="str">
        <x:v>前缀核对通过：2个候选，需人工映射</x:v>
      </x:c>
      <x:c r="AA56" s="87" t="str">
        <x:v>可入库</x:v>
      </x:c>
    </x:row>
    <x:row r="57" ht="46" customHeight="1">
      <x:c r="A57" s="87" t="n">
        <x:v>2023</x:v>
      </x:c>
      <x:c r="B57" s="87" t="str">
        <x:v>Z2023-0031</x:v>
      </x:c>
      <x:c r="C57" s="87" t="str">
        <x:v>中国归类决定(Z)</x:v>
      </x:c>
      <x:c r="D57" s="88" t="str">
        <x:v>8705.9099</x:v>
      </x:c>
      <x:c r="E57" s="88" t="str">
        <x:v>8705</x:v>
      </x:c>
      <x:c r="F57" s="88" t="str">
        <x:v>870590</x:v>
      </x:c>
      <x:c r="G57" s="88" t="str">
        <x:v>8位</x:v>
      </x:c>
      <x:c r="H57" s="87" t="str">
        <x:v>DIGTEC2000型燃气巡检车</x:v>
      </x:c>
      <x:c r="I57" s="87"/>
      <x:c r="J57" s="87" t="str">
        <x:v>无</x:v>
      </x:c>
      <x:c r="K57" s="87" t="str">
        <x:v>该商品用于检测天然气泄露，是由大众公司生产的夏郎（SHARAN）7座面包车改装，拆除了副驾驶和第三排座位，安装了IONIFLAM2高灵敏度气体检测仪、电子控制回路气流检测系统、标定气瓶组等装置等，前保险杠下装有气体检测探头，以螺栓固定为主，部分采用焊接连接，运行原理为：在铺埋管道的路面上方低速巡检。</x:v>
      </x:c>
      <x:c r="L57" s="87" t="str">
        <x:v>该商品为具有检测天然气泄露功能的专有用途车辆，符合《税则注释》关于特种车辆的有关规定，应归入税则号列8705.9099。</x:v>
      </x:c>
      <x:c r="M57" s="87" t="str">
        <x:v>《税则注释》关于特种车辆的有关规定</x:v>
      </x:c>
      <x:c r="N57" s="87" t="str">
        <x:v>海关总署公告2023年第94号</x:v>
      </x:c>
      <x:c r="O57" s="87"/>
      <x:c r="P57" s="87"/>
      <x:c r="Q57" s="87" t="str">
        <x:v>未在所附2025失效清单中</x:v>
      </x:c>
      <x:c r="R57" s="87"/>
      <x:c r="S57" s="87" t="str">
        <x:v>A</x:v>
      </x:c>
      <x:c r="T57" s="87" t="str">
        <x:v>用户提供的官方公告附件</x:v>
      </x:c>
      <x:c r="U57" s="87" t="str">
        <x:v>6351691393903988.doc</x:v>
      </x:c>
      <x:c r="V57" s="87"/>
      <x:c r="W57" s="87"/>
      <x:c r="X57" s="87" t="str">
        <x:v>官方附件原文</x:v>
      </x:c>
      <x:c r="Y57" s="89" t="str"/>
      <x:c r="Z57" s="90" t="str">
        <x:v>前缀核对通过：2个候选，需人工映射</x:v>
      </x:c>
      <x:c r="AA57" s="87" t="str">
        <x:v>可入库</x:v>
      </x:c>
    </x:row>
    <x:row r="58" ht="46" customHeight="1">
      <x:c r="A58" s="87" t="n">
        <x:v>2023</x:v>
      </x:c>
      <x:c r="B58" s="87" t="str">
        <x:v>Z2023-0032</x:v>
      </x:c>
      <x:c r="C58" s="87" t="str">
        <x:v>中国归类决定(Z)</x:v>
      </x:c>
      <x:c r="D58" s="88" t="str">
        <x:v>8705.9099</x:v>
      </x:c>
      <x:c r="E58" s="88" t="str">
        <x:v>8705</x:v>
      </x:c>
      <x:c r="F58" s="88" t="str">
        <x:v>870590</x:v>
      </x:c>
      <x:c r="G58" s="88" t="str">
        <x:v>8位</x:v>
      </x:c>
      <x:c r="H58" s="87" t="str">
        <x:v>文件销密特种车</x:v>
      </x:c>
      <x:c r="I58" s="87"/>
      <x:c r="J58" s="87" t="str">
        <x:v>无</x:v>
      </x:c>
      <x:c r="K58" s="87" t="str">
        <x:v>该车为具有文件销密功能的专有用途车辆，行驶部分为万国牌（INTERNATIONAL）47004×2型改装，为货箱与车一体式，货箱大小接近于20尺普通集装箱，货箱内装有1套SHRED-TECH牌碎纸系统，底盘上装有1套与碎纸系统相连接的液压系统，碎纸刀型号为MDS-25，运行原理为：从车右侧由液压系统提供动力将纸等传送到碎纸机内，打碎后打包输出，该碎纸机由车本身发动机的取力器提供动力。</x:v>
      </x:c>
      <x:c r="L58" s="87" t="str">
        <x:v>该商品为具有文件销密功能的专有用途车辆，符合《税则注释》关于特种车辆的有关规定，应归入税则号列8705.9099。</x:v>
      </x:c>
      <x:c r="M58" s="87" t="str">
        <x:v>《税则注释》关于特种车辆的有关规定</x:v>
      </x:c>
      <x:c r="N58" s="87" t="str">
        <x:v>海关总署公告2023年第94号</x:v>
      </x:c>
      <x:c r="O58" s="87"/>
      <x:c r="P58" s="87"/>
      <x:c r="Q58" s="87" t="str">
        <x:v>未在所附2025失效清单中</x:v>
      </x:c>
      <x:c r="R58" s="87"/>
      <x:c r="S58" s="87" t="str">
        <x:v>A</x:v>
      </x:c>
      <x:c r="T58" s="87" t="str">
        <x:v>用户提供的官方公告附件</x:v>
      </x:c>
      <x:c r="U58" s="87" t="str">
        <x:v>6351691393903988.doc</x:v>
      </x:c>
      <x:c r="V58" s="87"/>
      <x:c r="W58" s="87"/>
      <x:c r="X58" s="87" t="str">
        <x:v>官方附件原文</x:v>
      </x:c>
      <x:c r="Y58" s="89" t="str"/>
      <x:c r="Z58" s="90" t="str">
        <x:v>前缀核对通过：2个候选，需人工映射</x:v>
      </x:c>
      <x:c r="AA58" s="87" t="str">
        <x:v>可入库</x:v>
      </x:c>
    </x:row>
    <x:row r="59" ht="46" customHeight="1">
      <x:c r="A59" s="87" t="n">
        <x:v>2023</x:v>
      </x:c>
      <x:c r="B59" s="87" t="str">
        <x:v>Z2023-0033</x:v>
      </x:c>
      <x:c r="C59" s="87" t="str">
        <x:v>中国归类决定(Z)</x:v>
      </x:c>
      <x:c r="D59" s="88" t="str">
        <x:v>8705.9099</x:v>
      </x:c>
      <x:c r="E59" s="88" t="str">
        <x:v>8705</x:v>
      </x:c>
      <x:c r="F59" s="88" t="str">
        <x:v>870590</x:v>
      </x:c>
      <x:c r="G59" s="88" t="str">
        <x:v>8位</x:v>
      </x:c>
      <x:c r="H59" s="87" t="str">
        <x:v>高速路面检测车</x:v>
      </x:c>
      <x:c r="I59" s="87"/>
      <x:c r="J59" s="87" t="str">
        <x:v>无</x:v>
      </x:c>
      <x:c r="K59" s="87" t="str">
        <x:v>该商品由面包车经改装而成，拆除了驾驶座及后排靠车门的两个座位以外的座位，加装工作台，用以固定安装数据采集和测试监控系统，该系统必须与车辆的传动和行驶系统组装为一体；改装了部分汽车供电线路，用于检测系统的供电；加装距离测量仪（DMI）装置，用于距离测试和定位；改装车头部分，用于安装检测探头等。在车辆正常行驶状态下，该商品能自动完成道路面形状、平整度及道路几何参数等数据采集、分析、分类与存储，用于对高速公路路面和桥面的各层厚度、含水区域、混凝土空洞、破损位置及老化等情况进行测试。</x:v>
      </x:c>
      <x:c r="L59" s="87" t="str">
        <x:v>该商品为具有路面、桥面检测功能的专有用途车辆，符合《税则注释》关于特种车辆的有关规定，应归入税则号列8705.9099。</x:v>
      </x:c>
      <x:c r="M59" s="87" t="str">
        <x:v>《税则注释》关于特种车辆的有关规定</x:v>
      </x:c>
      <x:c r="N59" s="87" t="str">
        <x:v>海关总署公告2023年第94号</x:v>
      </x:c>
      <x:c r="O59" s="87"/>
      <x:c r="P59" s="87"/>
      <x:c r="Q59" s="87" t="str">
        <x:v>未在所附2025失效清单中</x:v>
      </x:c>
      <x:c r="R59" s="87"/>
      <x:c r="S59" s="87" t="str">
        <x:v>A</x:v>
      </x:c>
      <x:c r="T59" s="87" t="str">
        <x:v>用户提供的官方公告附件</x:v>
      </x:c>
      <x:c r="U59" s="87" t="str">
        <x:v>6351691393903988.doc</x:v>
      </x:c>
      <x:c r="V59" s="87"/>
      <x:c r="W59" s="87"/>
      <x:c r="X59" s="87" t="str">
        <x:v>官方附件原文</x:v>
      </x:c>
      <x:c r="Y59" s="89" t="str"/>
      <x:c r="Z59" s="90" t="str">
        <x:v>前缀核对通过：2个候选，需人工映射</x:v>
      </x:c>
      <x:c r="AA59" s="87" t="str">
        <x:v>可入库</x:v>
      </x:c>
    </x:row>
    <x:row r="60" ht="46" customHeight="1">
      <x:c r="A60" s="87" t="n">
        <x:v>2023</x:v>
      </x:c>
      <x:c r="B60" s="87" t="str">
        <x:v>Z2023-0034</x:v>
      </x:c>
      <x:c r="C60" s="87" t="str">
        <x:v>中国归类决定(Z)</x:v>
      </x:c>
      <x:c r="D60" s="88" t="str">
        <x:v>8705.9099</x:v>
      </x:c>
      <x:c r="E60" s="88" t="str">
        <x:v>8705</x:v>
      </x:c>
      <x:c r="F60" s="88" t="str">
        <x:v>870590</x:v>
      </x:c>
      <x:c r="G60" s="88" t="str">
        <x:v>8位</x:v>
      </x:c>
      <x:c r="H60" s="87" t="str">
        <x:v>犯罪现场物证快速检测车</x:v>
      </x:c>
      <x:c r="I60" s="87"/>
      <x:c r="J60" s="87" t="str">
        <x:v>无</x:v>
      </x:c>
      <x:c r="K60" s="87" t="str">
        <x:v>该商品由梅赛德斯-奔驰SPRINTER316CDI型面包车改装而成：规格型号为MERCEDESSPRINTER316CDI。该商品的车厢内部进行了改装，2/3的空间是办公操作区，内固定安装有电力仪表控制盘、工作台（安装有显示屏和录像机）、电脑、分析仪器，1/3的空间是服务区，固定安装有发电机组、用于装干净水的水箱，外部还装有一个铝制监视杆（可伸出超过车顶2米），在监视杆上装有摄像机、照明指示灯，通过运用车上检测设备在犯罪现场开展检测，用于犯罪现场物证的快速提取和检测。</x:v>
      </x:c>
      <x:c r="L60" s="87" t="str">
        <x:v>该商品为具有犯罪现场物证快速提取和检测功能的专有用途车辆，符合《税则注释》关于特种车辆的有关规定，应归入税则号列8705.9099。</x:v>
      </x:c>
      <x:c r="M60" s="87" t="str">
        <x:v>《税则注释》关于特种车辆的有关规定</x:v>
      </x:c>
      <x:c r="N60" s="87" t="str">
        <x:v>海关总署公告2023年第94号</x:v>
      </x:c>
      <x:c r="O60" s="87"/>
      <x:c r="P60" s="87"/>
      <x:c r="Q60" s="87" t="str">
        <x:v>未在所附2025失效清单中</x:v>
      </x:c>
      <x:c r="R60" s="87"/>
      <x:c r="S60" s="87" t="str">
        <x:v>A</x:v>
      </x:c>
      <x:c r="T60" s="87" t="str">
        <x:v>用户提供的官方公告附件</x:v>
      </x:c>
      <x:c r="U60" s="87" t="str">
        <x:v>6351691393903988.doc</x:v>
      </x:c>
      <x:c r="V60" s="87"/>
      <x:c r="W60" s="87"/>
      <x:c r="X60" s="87" t="str">
        <x:v>官方附件原文</x:v>
      </x:c>
      <x:c r="Y60" s="89" t="str"/>
      <x:c r="Z60" s="90" t="str">
        <x:v>前缀核对通过：2个候选，需人工映射</x:v>
      </x:c>
      <x:c r="AA60" s="87" t="str">
        <x:v>可入库</x:v>
      </x:c>
    </x:row>
    <x:row r="61" ht="46" customHeight="1">
      <x:c r="A61" s="87" t="n">
        <x:v>2023</x:v>
      </x:c>
      <x:c r="B61" s="87" t="str">
        <x:v>Z2023-0035</x:v>
      </x:c>
      <x:c r="C61" s="87" t="str">
        <x:v>中国归类决定(Z)</x:v>
      </x:c>
      <x:c r="D61" s="88" t="str">
        <x:v>8705.9099</x:v>
      </x:c>
      <x:c r="E61" s="88" t="str">
        <x:v>8705</x:v>
      </x:c>
      <x:c r="F61" s="88" t="str">
        <x:v>870590</x:v>
      </x:c>
      <x:c r="G61" s="88" t="str">
        <x:v>8位</x:v>
      </x:c>
      <x:c r="H61" s="87" t="str">
        <x:v>照明排烟车</x:v>
      </x:c>
      <x:c r="I61" s="87"/>
      <x:c r="J61" s="87" t="str">
        <x:v>无</x:v>
      </x:c>
      <x:c r="K61" s="87" t="str">
        <x:v>该商品由奔驰311CDI乘用车改装而成，储物箱安装了一套照明灯具，照明灯举升高度为7.1米，并配套一台车载发电机作为电源动力，该车还安装一台宝马25型排烟机，每小时排烟40万立方米，运用随车的照明灯、排烟机进行照明和排烟，用于火场照明排烟。</x:v>
      </x:c>
      <x:c r="L61" s="87" t="str">
        <x:v>该商品为具有火场照明排烟功能的专有用途车辆，符合《税则注释》关于特种车辆的有关规定，应归入税则号列8705.9099。</x:v>
      </x:c>
      <x:c r="M61" s="87" t="str">
        <x:v>《税则注释》关于特种车辆的有关规定</x:v>
      </x:c>
      <x:c r="N61" s="87" t="str">
        <x:v>海关总署公告2023年第94号</x:v>
      </x:c>
      <x:c r="O61" s="87"/>
      <x:c r="P61" s="87"/>
      <x:c r="Q61" s="87" t="str">
        <x:v>未在所附2025失效清单中</x:v>
      </x:c>
      <x:c r="R61" s="87"/>
      <x:c r="S61" s="87" t="str">
        <x:v>A</x:v>
      </x:c>
      <x:c r="T61" s="87" t="str">
        <x:v>用户提供的官方公告附件</x:v>
      </x:c>
      <x:c r="U61" s="87" t="str">
        <x:v>6351691393903988.doc</x:v>
      </x:c>
      <x:c r="V61" s="87"/>
      <x:c r="W61" s="87"/>
      <x:c r="X61" s="87" t="str">
        <x:v>官方附件原文</x:v>
      </x:c>
      <x:c r="Y61" s="89" t="str"/>
      <x:c r="Z61" s="90" t="str">
        <x:v>前缀核对通过：2个候选，需人工映射</x:v>
      </x:c>
      <x:c r="AA61" s="87" t="str">
        <x:v>可入库</x:v>
      </x:c>
    </x:row>
    <x:row r="62" ht="46" customHeight="1">
      <x:c r="A62" s="87" t="n">
        <x:v>2023</x:v>
      </x:c>
      <x:c r="B62" s="87" t="str">
        <x:v>Z2023-0036</x:v>
      </x:c>
      <x:c r="C62" s="87" t="str">
        <x:v>中国归类决定(Z)</x:v>
      </x:c>
      <x:c r="D62" s="88" t="str">
        <x:v>8705.9099</x:v>
      </x:c>
      <x:c r="E62" s="88" t="str">
        <x:v>8705</x:v>
      </x:c>
      <x:c r="F62" s="88" t="str">
        <x:v>870590</x:v>
      </x:c>
      <x:c r="G62" s="88" t="str">
        <x:v>8位</x:v>
      </x:c>
      <x:c r="H62" s="87" t="str">
        <x:v>阿迪戈2148cc高空作业车</x:v>
      </x:c>
      <x:c r="I62" s="87"/>
      <x:c r="J62" s="87" t="str">
        <x:v>型号：柴油型 ITALMICHELANGEL021.10/BENZATEGO1215梅赛德斯-奔驰。</x:v>
      </x:c>
      <x:c r="K62" s="87" t="str">
        <x:v>该商品在奔驰车底盘上装有可折叠及伸缩臂式高空作业平台，平台底座可360度旋转，伸缩臂最大工作高度为21米，在工作篮及平台底部装有两组控制器，用于控制工作臂，主要组成为工作臂、工作篮、平台转盘、支撑腿等，运用工作臂实现作业平台的升降，用于维修电缆、公用照明等，应用于路灯、电力、市政、机场、高速公路、造船修船、通信、建筑、园林、港口等行业和领域。</x:v>
      </x:c>
      <x:c r="L62" s="87" t="str">
        <x:v>该商品为具有高空作业功能的专有用途车辆，符合《税则注释》关于特种车辆的有关规定，应归入税则号列8705.9099。</x:v>
      </x:c>
      <x:c r="M62" s="87" t="str">
        <x:v>《税则注释》关于特种车辆的有关规定</x:v>
      </x:c>
      <x:c r="N62" s="87" t="str">
        <x:v>海关总署公告2023年第94号</x:v>
      </x:c>
      <x:c r="O62" s="87"/>
      <x:c r="P62" s="87"/>
      <x:c r="Q62" s="87" t="str">
        <x:v>未在所附2025失效清单中</x:v>
      </x:c>
      <x:c r="R62" s="87"/>
      <x:c r="S62" s="87" t="str">
        <x:v>A</x:v>
      </x:c>
      <x:c r="T62" s="87" t="str">
        <x:v>用户提供的官方公告附件</x:v>
      </x:c>
      <x:c r="U62" s="87" t="str">
        <x:v>6351691393903988.doc</x:v>
      </x:c>
      <x:c r="V62" s="87"/>
      <x:c r="W62" s="87"/>
      <x:c r="X62" s="87" t="str">
        <x:v>官方附件原文</x:v>
      </x:c>
      <x:c r="Y62" s="89" t="str"/>
      <x:c r="Z62" s="90" t="str">
        <x:v>前缀核对通过：2个候选，需人工映射</x:v>
      </x:c>
      <x:c r="AA62" s="87" t="str">
        <x:v>可入库</x:v>
      </x:c>
    </x:row>
    <x:row r="63" ht="46" customHeight="1">
      <x:c r="A63" s="87" t="n">
        <x:v>2023</x:v>
      </x:c>
      <x:c r="B63" s="87" t="str">
        <x:v>Z2023-0037</x:v>
      </x:c>
      <x:c r="C63" s="87" t="str">
        <x:v>中国归类决定(Z)</x:v>
      </x:c>
      <x:c r="D63" s="88" t="str">
        <x:v>8705.9099</x:v>
      </x:c>
      <x:c r="E63" s="88" t="str">
        <x:v>8705</x:v>
      </x:c>
      <x:c r="F63" s="88" t="str">
        <x:v>870590</x:v>
      </x:c>
      <x:c r="G63" s="88" t="str">
        <x:v>8位</x:v>
      </x:c>
      <x:c r="H63" s="87" t="str">
        <x:v>现场测光车</x:v>
      </x:c>
      <x:c r="I63" s="87"/>
      <x:c r="J63" s="87" t="str">
        <x:v>无</x:v>
      </x:c>
      <x:c r="K63" s="87" t="str">
        <x:v>该商品由切诺基吉普改装而成，内部安装机场测光计量系统：由灯光传感器阵列、位置传感器（雷达系统）、校准摄像机、导航模块、数据记录及分析计算机系统等组成，运行原理为：运用测光计量系统，测量机场跑道的灯光性能。</x:v>
      </x:c>
      <x:c r="L63" s="87" t="str">
        <x:v>该商品为具有测量灯光性能功能的专有用途车辆，符合《税则注释》关于特种车辆的有关规定，应归入税则号列8705.9099。</x:v>
      </x:c>
      <x:c r="M63" s="87" t="str">
        <x:v>《税则注释》关于特种车辆的有关规定</x:v>
      </x:c>
      <x:c r="N63" s="87" t="str">
        <x:v>海关总署公告2023年第94号</x:v>
      </x:c>
      <x:c r="O63" s="87"/>
      <x:c r="P63" s="87"/>
      <x:c r="Q63" s="87" t="str">
        <x:v>未在所附2025失效清单中</x:v>
      </x:c>
      <x:c r="R63" s="87"/>
      <x:c r="S63" s="87" t="str">
        <x:v>A</x:v>
      </x:c>
      <x:c r="T63" s="87" t="str">
        <x:v>用户提供的官方公告附件</x:v>
      </x:c>
      <x:c r="U63" s="87" t="str">
        <x:v>6351691393903988.doc</x:v>
      </x:c>
      <x:c r="V63" s="87"/>
      <x:c r="W63" s="87"/>
      <x:c r="X63" s="87" t="str">
        <x:v>官方附件原文</x:v>
      </x:c>
      <x:c r="Y63" s="89" t="str"/>
      <x:c r="Z63" s="90" t="str">
        <x:v>前缀核对通过：2个候选，需人工映射</x:v>
      </x:c>
      <x:c r="AA63" s="87" t="str">
        <x:v>可入库</x:v>
      </x:c>
    </x:row>
    <x:row r="64" ht="46" customHeight="1">
      <x:c r="A64" s="87" t="n">
        <x:v>2023</x:v>
      </x:c>
      <x:c r="B64" s="87" t="str">
        <x:v>Z2023-0038</x:v>
      </x:c>
      <x:c r="C64" s="87" t="str">
        <x:v>中国归类决定(Z)</x:v>
      </x:c>
      <x:c r="D64" s="88" t="str">
        <x:v>8705.9099</x:v>
      </x:c>
      <x:c r="E64" s="88" t="str">
        <x:v>8705</x:v>
      </x:c>
      <x:c r="F64" s="88" t="str">
        <x:v>870590</x:v>
      </x:c>
      <x:c r="G64" s="88" t="str">
        <x:v>8位</x:v>
      </x:c>
      <x:c r="H64" s="87" t="str">
        <x:v>管汇车</x:v>
      </x:c>
      <x:c r="I64" s="87"/>
      <x:c r="J64" s="87" t="str">
        <x:v>无</x:v>
      </x:c>
      <x:c r="K64" s="87" t="str">
        <x:v>该商品由奔驰底盘车改装而成，在奔驰底盘车上装配有发动机、传动箱、随车吊机、高压和低压管汇等，用随车吊机将携带的高压和低压管汇吊到地面，低压管汇与混砂车排出管和压裂车吸入管连接，高压管汇与压裂车的排出管汇和井口管汇连接。</x:v>
      </x:c>
      <x:c r="L64" s="87" t="str">
        <x:v>该商品为具有管汇连接功能的专有用途车辆，符合《税则注释》关于特种车辆的有关规定，应归入税则号列8705.9099。</x:v>
      </x:c>
      <x:c r="M64" s="87" t="str">
        <x:v>《税则注释》关于特种车辆的有关规定</x:v>
      </x:c>
      <x:c r="N64" s="87" t="str">
        <x:v>海关总署公告2023年第94号</x:v>
      </x:c>
      <x:c r="O64" s="87"/>
      <x:c r="P64" s="87"/>
      <x:c r="Q64" s="87" t="str">
        <x:v>未在所附2025失效清单中</x:v>
      </x:c>
      <x:c r="R64" s="87"/>
      <x:c r="S64" s="87" t="str">
        <x:v>A</x:v>
      </x:c>
      <x:c r="T64" s="87" t="str">
        <x:v>用户提供的官方公告附件</x:v>
      </x:c>
      <x:c r="U64" s="87" t="str">
        <x:v>6351691393903988.doc</x:v>
      </x:c>
      <x:c r="V64" s="87"/>
      <x:c r="W64" s="87"/>
      <x:c r="X64" s="87" t="str">
        <x:v>官方附件原文</x:v>
      </x:c>
      <x:c r="Y64" s="89" t="str"/>
      <x:c r="Z64" s="90" t="str">
        <x:v>前缀核对通过：2个候选，需人工映射</x:v>
      </x:c>
      <x:c r="AA64" s="87" t="str">
        <x:v>可入库</x:v>
      </x:c>
    </x:row>
    <x:row r="65" ht="46" customHeight="1">
      <x:c r="A65" s="87" t="n">
        <x:v>2023</x:v>
      </x:c>
      <x:c r="B65" s="87" t="str">
        <x:v>Z2023-0039</x:v>
      </x:c>
      <x:c r="C65" s="87" t="str">
        <x:v>中国归类决定(Z)</x:v>
      </x:c>
      <x:c r="D65" s="88" t="str">
        <x:v>8714.1000</x:v>
      </x:c>
      <x:c r="E65" s="88" t="str">
        <x:v>8714</x:v>
      </x:c>
      <x:c r="F65" s="88" t="str">
        <x:v>871410</x:v>
      </x:c>
      <x:c r="G65" s="88" t="str">
        <x:v>8位</x:v>
      </x:c>
      <x:c r="H65" s="87" t="str">
        <x:v>单向离合器</x:v>
      </x:c>
      <x:c r="I65" s="87"/>
      <x:c r="J65" s="87" t="str">
        <x:v>型号：50422-172</x:v>
      </x:c>
      <x:c r="K65" s="87" t="str">
        <x:v>该单向离合器为摩托车启动小齿轮组，又称起动机齿轮组合，用于发动机启动时的动力传递。车辆刚启动时该商品将起动电机的动力传递给发动机，从而带动发动机旋转。当发动机正常运转后，转速超过起动电机的转速后，可以使起动电机与发动机断开连接。</x:v>
      </x:c>
      <x:c r="L65" s="87" t="str">
        <x:v>该商品为摩托车起动电机齿轮设组，根据其构成、运行原理及用途，该商品单向离合器不属于发动机的零件，专用于摩托车，应归入税则号列8714.1000。</x:v>
      </x:c>
      <x:c r="M65" s="87"/>
      <x:c r="N65" s="87" t="str">
        <x:v>海关总署公告2023年第94号</x:v>
      </x:c>
      <x:c r="O65" s="87"/>
      <x:c r="P65" s="87"/>
      <x:c r="Q65" s="87" t="str">
        <x:v>未在所附2025失效清单中</x:v>
      </x:c>
      <x:c r="R65" s="87"/>
      <x:c r="S65" s="87" t="str">
        <x:v>A</x:v>
      </x:c>
      <x:c r="T65" s="87" t="str">
        <x:v>用户提供的官方公告附件</x:v>
      </x:c>
      <x:c r="U65" s="87" t="str">
        <x:v>6351691393903988.doc</x:v>
      </x:c>
      <x:c r="V65" s="87"/>
      <x:c r="W65" s="87"/>
      <x:c r="X65" s="87" t="str">
        <x:v>官方附件原文</x:v>
      </x:c>
      <x:c r="Y65" s="89" t="str"/>
      <x:c r="Z65" s="90" t="str">
        <x:v>前缀核对通过：2个候选，需人工映射</x:v>
      </x:c>
      <x:c r="AA65" s="87" t="str">
        <x:v>可入库</x:v>
      </x:c>
    </x:row>
    <x:row r="66" ht="46" customHeight="1">
      <x:c r="A66" s="87" t="n">
        <x:v>2023</x:v>
      </x:c>
      <x:c r="B66" s="87" t="str">
        <x:v>Z2023-0040</x:v>
      </x:c>
      <x:c r="C66" s="87" t="str">
        <x:v>中国归类决定(Z)</x:v>
      </x:c>
      <x:c r="D66" s="88" t="str">
        <x:v>9001.9090</x:v>
      </x:c>
      <x:c r="E66" s="88" t="str">
        <x:v>9001</x:v>
      </x:c>
      <x:c r="F66" s="88" t="str">
        <x:v>900190</x:v>
      </x:c>
      <x:c r="G66" s="88" t="str">
        <x:v>8位</x:v>
      </x:c>
      <x:c r="H66" s="87" t="str">
        <x:v>波分复用器膜片</x:v>
      </x:c>
      <x:c r="I66" s="87"/>
      <x:c r="J66" s="87" t="str">
        <x:v>无</x:v>
      </x:c>
      <x:c r="K66" s="87" t="str">
        <x:v>该商品由法布里—白洛谐振腔（一般110G膜片包含3～6个谐振腔）、波分复用器膜片基体（主要材料是Ohara生产的波分复用器膜片的WMS—02、WMS—13基体）、增透介质构成，用于处理通讯信号的下载和上传，可以把两个合并的信号通道分开或把两个分开的信号通道合并。</x:v>
      </x:c>
      <x:c r="L66" s="87" t="str">
        <x:v>该商品为利用光学原理工作的光学元件，根据其构成、运行原理及用途，应归入税则号列9001.9090。</x:v>
      </x:c>
      <x:c r="M66" s="87"/>
      <x:c r="N66" s="87" t="str">
        <x:v>海关总署公告2023年第94号</x:v>
      </x:c>
      <x:c r="O66" s="87"/>
      <x:c r="P66" s="87"/>
      <x:c r="Q66" s="87" t="str">
        <x:v>未在所附2025失效清单中</x:v>
      </x:c>
      <x:c r="R66" s="87"/>
      <x:c r="S66" s="87" t="str">
        <x:v>A</x:v>
      </x:c>
      <x:c r="T66" s="87" t="str">
        <x:v>用户提供的官方公告附件</x:v>
      </x:c>
      <x:c r="U66" s="87" t="str">
        <x:v>6351691393903988.doc</x:v>
      </x:c>
      <x:c r="V66" s="87"/>
      <x:c r="W66" s="87"/>
      <x:c r="X66" s="87" t="str">
        <x:v>官方附件原文</x:v>
      </x:c>
      <x:c r="Y66" s="89" t="str"/>
      <x:c r="Z66" s="90" t="str">
        <x:v>前缀核对通过：2个候选，需人工映射</x:v>
      </x:c>
      <x:c r="AA66" s="87" t="str">
        <x:v>可入库</x:v>
      </x:c>
    </x:row>
    <x:row r="67" ht="46" customHeight="1">
      <x:c r="A67" s="87" t="n">
        <x:v>2023</x:v>
      </x:c>
      <x:c r="B67" s="87" t="str">
        <x:v>Z2023-0041</x:v>
      </x:c>
      <x:c r="C67" s="87" t="str">
        <x:v>中国归类决定(Z)</x:v>
      </x:c>
      <x:c r="D67" s="88" t="str">
        <x:v>9001.9090</x:v>
      </x:c>
      <x:c r="E67" s="88" t="str">
        <x:v>9001</x:v>
      </x:c>
      <x:c r="F67" s="88" t="str">
        <x:v>900190</x:v>
      </x:c>
      <x:c r="G67" s="88" t="str">
        <x:v>8位</x:v>
      </x:c>
      <x:c r="H67" s="87" t="str">
        <x:v>三硼酸锂晶体</x:v>
      </x:c>
      <x:c r="I67" s="87"/>
      <x:c r="J67" s="87" t="str">
        <x:v>4毫米×4毫米×20毫米</x:v>
      </x:c>
      <x:c r="K67" s="87" t="str">
        <x:v>该商品为三硼酸锂晶体，规格为4毫米×4毫米×20毫米，成分为三硼酸锂（LiB3O5），是制造激光频率变化器件（非线性晶体器件）的原材料。</x:v>
      </x:c>
      <x:c r="L67" s="87" t="str">
        <x:v>该商品为制造激光器中倍频装置的原材料，尚未制成倍频装置，故不能归入《税则》税目90.13。由于该商品的功能符合《税则》税目90.01的解释，因此，可按“未作固定装配的非玻璃制光学元件”归类，应归入税则号列9001.9090。</x:v>
      </x:c>
      <x:c r="M67" s="87" t="str">
        <x:v>《税则》税目90.13；《税则》税目90.01的解释</x:v>
      </x:c>
      <x:c r="N67" s="87" t="str">
        <x:v>海关总署公告2023年第94号</x:v>
      </x:c>
      <x:c r="O67" s="87"/>
      <x:c r="P67" s="87"/>
      <x:c r="Q67" s="87" t="str">
        <x:v>未在所附2025失效清单中</x:v>
      </x:c>
      <x:c r="R67" s="87"/>
      <x:c r="S67" s="87" t="str">
        <x:v>A</x:v>
      </x:c>
      <x:c r="T67" s="87" t="str">
        <x:v>用户提供的官方公告附件</x:v>
      </x:c>
      <x:c r="U67" s="87" t="str">
        <x:v>6351691393903988.doc</x:v>
      </x:c>
      <x:c r="V67" s="87"/>
      <x:c r="W67" s="87"/>
      <x:c r="X67" s="87" t="str">
        <x:v>官方附件原文</x:v>
      </x:c>
      <x:c r="Y67" s="89" t="str"/>
      <x:c r="Z67" s="90" t="str">
        <x:v>前缀核对通过：2个候选，需人工映射</x:v>
      </x:c>
      <x:c r="AA67" s="87" t="str">
        <x:v>可入库</x:v>
      </x:c>
    </x:row>
    <x:row r="68" ht="46" customHeight="1">
      <x:c r="A68" s="87" t="n">
        <x:v>2023</x:v>
      </x:c>
      <x:c r="B68" s="87" t="str">
        <x:v>Z2023-0042</x:v>
      </x:c>
      <x:c r="C68" s="87" t="str">
        <x:v>中国归类决定(Z)</x:v>
      </x:c>
      <x:c r="D68" s="88" t="str">
        <x:v>9001.9090</x:v>
      </x:c>
      <x:c r="E68" s="88" t="str">
        <x:v>9001</x:v>
      </x:c>
      <x:c r="F68" s="88" t="str">
        <x:v>900190</x:v>
      </x:c>
      <x:c r="G68" s="88" t="str">
        <x:v>8位</x:v>
      </x:c>
      <x:c r="H68" s="87" t="str">
        <x:v>屏幕透镜</x:v>
      </x:c>
      <x:c r="I68" s="87"/>
      <x:c r="J68" s="87" t="str">
        <x:v>无</x:v>
      </x:c>
      <x:c r="K68" s="87" t="str">
        <x:v>该商品为四周有黑框，中间无色透明的矩形塑料板，用于商场内的屏幕墙、电子广告牌等设备的屏幕，是屏幕的最外层，起到使表面光线均匀、柔和光线、防静电、降低表面光线反射的作用。加工工艺为：塑料成型前加入防静电剂，在成型、切割后，放入盛满防反射液的槽中浸泡，然后取出烘干，使其表面形成一层防反射膜，最后在其背面用丝印的方法印上黑色边框。该商品在加工过程中未经表面抛光及边缘打磨等工序。</x:v>
      </x:c>
      <x:c r="L68" s="87" t="str">
        <x:v>该商品为塑料制屏幕透镜，根据《税则注释》品目90.01包括“未作固定装配的非玻璃制光学元件，不论是否经过光学加工”的描述，应归入税则号列9001.9090。</x:v>
      </x:c>
      <x:c r="M68" s="87" t="str">
        <x:v>《税则注释》品目90.01包括“未作固定装配的非玻璃制光学元件</x:v>
      </x:c>
      <x:c r="N68" s="87" t="str">
        <x:v>海关总署公告2023年第94号</x:v>
      </x:c>
      <x:c r="O68" s="87"/>
      <x:c r="P68" s="87"/>
      <x:c r="Q68" s="87" t="str">
        <x:v>未在所附2025失效清单中</x:v>
      </x:c>
      <x:c r="R68" s="87"/>
      <x:c r="S68" s="87" t="str">
        <x:v>A</x:v>
      </x:c>
      <x:c r="T68" s="87" t="str">
        <x:v>用户提供的官方公告附件</x:v>
      </x:c>
      <x:c r="U68" s="87" t="str">
        <x:v>6351691393903988.doc</x:v>
      </x:c>
      <x:c r="V68" s="87"/>
      <x:c r="W68" s="87"/>
      <x:c r="X68" s="87" t="str">
        <x:v>官方附件原文</x:v>
      </x:c>
      <x:c r="Y68" s="89" t="str"/>
      <x:c r="Z68" s="90" t="str">
        <x:v>前缀核对通过：2个候选，需人工映射</x:v>
      </x:c>
      <x:c r="AA68" s="87" t="str">
        <x:v>可入库</x:v>
      </x:c>
    </x:row>
    <x:row r="69" ht="46" customHeight="1">
      <x:c r="A69" s="87" t="n">
        <x:v>2023</x:v>
      </x:c>
      <x:c r="B69" s="87" t="str">
        <x:v>Z2023-0043</x:v>
      </x:c>
      <x:c r="C69" s="87" t="str">
        <x:v>中国归类决定(Z)</x:v>
      </x:c>
      <x:c r="D69" s="88" t="str">
        <x:v>9018.3100</x:v>
      </x:c>
      <x:c r="E69" s="88" t="str">
        <x:v>9018</x:v>
      </x:c>
      <x:c r="F69" s="88" t="str">
        <x:v>901831</x:v>
      </x:c>
      <x:c r="G69" s="88" t="str">
        <x:v>8位</x:v>
      </x:c>
      <x:c r="H69" s="87" t="str">
        <x:v>预灌封注射器推杆</x:v>
      </x:c>
      <x:c r="I69" s="87"/>
      <x:c r="J69" s="87" t="str">
        <x:v>无</x:v>
      </x:c>
      <x:c r="K69" s="87" t="str">
        <x:v>该商品为预灌封注射器专用零件，材质为塑料，与预灌封注射器配合使用，在使用过程中通过推杆推动注射器的活塞移动以完成药品注射给药（推杆不直接接触药物）。该商品是预灌封注射器不可替代的组件，与针管和活塞组成药液密闭系统，配合完成药品注射。</x:v>
      </x:c>
      <x:c r="L69" s="87" t="str">
        <x:v>该商品与预灌封注射器配合使用，通过推杆推动注射器的活塞移动以完成药品注射给药。根据现行药包材国家标准《预灌封注射器组合件（带注射针）》（标准号为YBB00112004-2015），预灌封注射器组合件（带注射针）属于药包材，推杆为其组成部分之一。该商品为预灌封注射器专用零件，根据归类总规则一及六，应归入税则号列9018.3100。</x:v>
      </x:c>
      <x:c r="M69" s="87" t="str">
        <x:v>归类总规则一及六</x:v>
      </x:c>
      <x:c r="N69" s="87" t="str">
        <x:v>海关总署公告2023年第94号</x:v>
      </x:c>
      <x:c r="O69" s="87"/>
      <x:c r="P69" s="87"/>
      <x:c r="Q69" s="87" t="str">
        <x:v>未在所附2025失效清单中</x:v>
      </x:c>
      <x:c r="R69" s="87"/>
      <x:c r="S69" s="87" t="str">
        <x:v>A</x:v>
      </x:c>
      <x:c r="T69" s="87" t="str">
        <x:v>用户提供的官方公告附件</x:v>
      </x:c>
      <x:c r="U69" s="87" t="str">
        <x:v>6351691393903988.doc</x:v>
      </x:c>
      <x:c r="V69" s="87"/>
      <x:c r="W69" s="87"/>
      <x:c r="X69" s="87" t="str">
        <x:v>官方附件原文</x:v>
      </x:c>
      <x:c r="Y69" s="89" t="str">
        <x:v>9018310000</x:v>
      </x:c>
      <x:c r="Z69" s="90" t="str">
        <x:v>前缀核对通过：唯一候选，待业务确认</x:v>
      </x:c>
      <x:c r="AA69" s="87" t="str">
        <x:v>可入库</x:v>
      </x:c>
    </x:row>
    <x:row r="70" ht="46" customHeight="1">
      <x:c r="A70" s="87" t="n">
        <x:v>2023</x:v>
      </x:c>
      <x:c r="B70" s="87" t="str">
        <x:v>Z2023-0044</x:v>
      </x:c>
      <x:c r="C70" s="87" t="str">
        <x:v>中国归类决定(Z)</x:v>
      </x:c>
      <x:c r="D70" s="88" t="str">
        <x:v>9023.0090</x:v>
      </x:c>
      <x:c r="E70" s="88" t="str">
        <x:v>9023</x:v>
      </x:c>
      <x:c r="F70" s="88" t="str">
        <x:v>902300</x:v>
      </x:c>
      <x:c r="G70" s="88" t="str">
        <x:v>8位</x:v>
      </x:c>
      <x:c r="H70" s="87" t="str">
        <x:v>模拟射击设备</x:v>
      </x:c>
      <x:c r="I70" s="87"/>
      <x:c r="J70" s="87" t="str">
        <x:v>型号：范思（FATS）CST100D-P</x:v>
      </x:c>
      <x:c r="K70" s="87" t="str">
        <x:v>该设备由主模拟计算机（PSC）、投影仪、监测镜头、扬声器及高反射屏幕组成，其中除高反射屏幕单独包装外，其他设备装于一个29英寸×22英寸×19英寸的金属包装箱内，箱内用软填充材料隔断，内部设备无单独外包装，用于模拟射击训练，在训练过程中，模拟射击场景由计算机提供并由投影仪投射到屏幕上，训练结束后，练习结果和学员的动作可以显示在监视器上，该设备配有激光插入器，可插入武器的枪管，并由武器的撞针撞击发射激光，在屏幕上射出一个激光点，因高反射屏幕的主要材料是延展性较好的橡胶，子弹穿过后弹孔可以自动闭合，既可支持激光模拟射击又可支持实弹射击。</x:v>
      </x:c>
      <x:c r="L70" s="87" t="str">
        <x:v>该商品为用于模拟射击训练的机组设备，符合《税则》第八十四章章注五（五）和第九十章章注三关于功能机组的规定，应归入税则号列9023.0090。</x:v>
      </x:c>
      <x:c r="M70" s="87" t="str">
        <x:v>《税则》第八十四章章注五（五）和第九十章章注三关于功能机组的规定</x:v>
      </x:c>
      <x:c r="N70" s="87" t="str">
        <x:v>海关总署公告2023年第94号</x:v>
      </x:c>
      <x:c r="O70" s="87"/>
      <x:c r="P70" s="87"/>
      <x:c r="Q70" s="87" t="str">
        <x:v>未在所附2025失效清单中</x:v>
      </x:c>
      <x:c r="R70" s="87"/>
      <x:c r="S70" s="87" t="str">
        <x:v>A</x:v>
      </x:c>
      <x:c r="T70" s="87" t="str">
        <x:v>用户提供的官方公告附件</x:v>
      </x:c>
      <x:c r="U70" s="87" t="str">
        <x:v>6351691393903988.doc</x:v>
      </x:c>
      <x:c r="V70" s="87"/>
      <x:c r="W70" s="87"/>
      <x:c r="X70" s="87" t="str">
        <x:v>官方附件原文</x:v>
      </x:c>
      <x:c r="Y70" s="89" t="str">
        <x:v>9023009000</x:v>
      </x:c>
      <x:c r="Z70" s="90" t="str">
        <x:v>前缀核对通过：唯一候选，待业务确认</x:v>
      </x:c>
      <x:c r="AA70" s="87" t="str">
        <x:v>可入库</x:v>
      </x:c>
    </x:row>
    <x:row r="71" ht="46" customHeight="1">
      <x:c r="A71" s="87" t="n">
        <x:v>2023</x:v>
      </x:c>
      <x:c r="B71" s="87" t="str">
        <x:v>Z2023-0045</x:v>
      </x:c>
      <x:c r="C71" s="87" t="str">
        <x:v>中国归类决定(Z)</x:v>
      </x:c>
      <x:c r="D71" s="88" t="str">
        <x:v>9023.0090</x:v>
      </x:c>
      <x:c r="E71" s="88" t="str">
        <x:v>9023</x:v>
      </x:c>
      <x:c r="F71" s="88" t="str">
        <x:v>902300</x:v>
      </x:c>
      <x:c r="G71" s="88" t="str">
        <x:v>8位</x:v>
      </x:c>
      <x:c r="H71" s="87" t="str">
        <x:v>旧恐龙模型</x:v>
      </x:c>
      <x:c r="I71" s="87"/>
      <x:c r="J71" s="87" t="str">
        <x:v>无</x:v>
      </x:c>
      <x:c r="K71" s="87" t="str">
        <x:v>包括肿头龙、剑龙、翼龙等各种恐龙模型，按照成年恐龙和恐龙幼仔的大小比例做成，身体部分的主要材质是塑胶，有铁的支架和底座，部分恐龙有电动装置，能模仿真恐龙的动作，用于展览展示。</x:v>
      </x:c>
      <x:c r="L71" s="87" t="str">
        <x:v>该商品为用于展览展示的模型，根据归类总规则一及六，应归入税则号列9023.0090。</x:v>
      </x:c>
      <x:c r="M71" s="87" t="str">
        <x:v>归类总规则一及六</x:v>
      </x:c>
      <x:c r="N71" s="87" t="str">
        <x:v>海关总署公告2023年第94号</x:v>
      </x:c>
      <x:c r="O71" s="87"/>
      <x:c r="P71" s="87"/>
      <x:c r="Q71" s="87" t="str">
        <x:v>未在所附2025失效清单中</x:v>
      </x:c>
      <x:c r="R71" s="87"/>
      <x:c r="S71" s="87" t="str">
        <x:v>A</x:v>
      </x:c>
      <x:c r="T71" s="87" t="str">
        <x:v>用户提供的官方公告附件</x:v>
      </x:c>
      <x:c r="U71" s="87" t="str">
        <x:v>6351691393903988.doc</x:v>
      </x:c>
      <x:c r="V71" s="87"/>
      <x:c r="W71" s="87"/>
      <x:c r="X71" s="87" t="str">
        <x:v>官方附件原文</x:v>
      </x:c>
      <x:c r="Y71" s="89" t="str">
        <x:v>9023009000</x:v>
      </x:c>
      <x:c r="Z71" s="90" t="str">
        <x:v>前缀核对通过：唯一候选，待业务确认</x:v>
      </x:c>
      <x:c r="AA71" s="87" t="str">
        <x:v>可入库</x:v>
      </x:c>
    </x:row>
    <x:row r="72" ht="46" customHeight="1">
      <x:c r="A72" s="87" t="n">
        <x:v>2023</x:v>
      </x:c>
      <x:c r="B72" s="87" t="str">
        <x:v>Z2023-0046</x:v>
      </x:c>
      <x:c r="C72" s="87" t="str">
        <x:v>中国归类决定(Z)</x:v>
      </x:c>
      <x:c r="D72" s="88" t="str">
        <x:v>9023.0090</x:v>
      </x:c>
      <x:c r="E72" s="88" t="str">
        <x:v>9023</x:v>
      </x:c>
      <x:c r="F72" s="88" t="str">
        <x:v>902300</x:v>
      </x:c>
      <x:c r="G72" s="88" t="str">
        <x:v>8位</x:v>
      </x:c>
      <x:c r="H72" s="87" t="str">
        <x:v>交互式急救模拟系统</x:v>
      </x:c>
      <x:c r="I72" s="87"/>
      <x:c r="J72" s="87" t="str">
        <x:v>无</x:v>
      </x:c>
      <x:c r="K72" s="87" t="str">
        <x:v>该交互式急救模拟系统为医疗教学用模拟人交互式急救模拟系统，95％的结构为硅胶材料制成，模拟人类躯干和肢体，5％结构为压力感测器、信号导线或连接螺钉。在口腔、胸部、静脉等处有多个传感器，当学生练习人工呼吸、胸外心脏按压、静脉注射时，传感器感知压力并传输信号，专业分析软件可以分析、判断操作正确与否，为医疗教学用模拟人，主要用于人体心血管系统、呼吸系统、泌尿生殖系统、神经系统的学习。该模拟人与装有专业分析软件的微机配套使用，分析软件及微机为国内采购。</x:v>
      </x:c>
      <x:c r="L72" s="87" t="str">
        <x:v>该商品为以硅胶为主体，带有压力感应器等设备的医疗教学模拟人，用于医疗教学，符合《税则》税目90.23的商品描述。该商品进口状态虽然缺少分析软件及微机，但已具备完整品的基本特征，根据归类总规则二，应归入税则号列9023.0090。</x:v>
      </x:c>
      <x:c r="M72" s="87" t="str">
        <x:v>归类总规则二；《税则》税目90.23的商品描述</x:v>
      </x:c>
      <x:c r="N72" s="87" t="str">
        <x:v>海关总署公告2023年第94号</x:v>
      </x:c>
      <x:c r="O72" s="87"/>
      <x:c r="P72" s="87"/>
      <x:c r="Q72" s="87" t="str">
        <x:v>未在所附2025失效清单中</x:v>
      </x:c>
      <x:c r="R72" s="87"/>
      <x:c r="S72" s="87" t="str">
        <x:v>A</x:v>
      </x:c>
      <x:c r="T72" s="87" t="str">
        <x:v>用户提供的官方公告附件</x:v>
      </x:c>
      <x:c r="U72" s="87" t="str">
        <x:v>6351691393903988.doc</x:v>
      </x:c>
      <x:c r="V72" s="87"/>
      <x:c r="W72" s="87"/>
      <x:c r="X72" s="87" t="str">
        <x:v>官方附件原文</x:v>
      </x:c>
      <x:c r="Y72" s="89" t="str">
        <x:v>9023009000</x:v>
      </x:c>
      <x:c r="Z72" s="90" t="str">
        <x:v>前缀核对通过：唯一候选，待业务确认</x:v>
      </x:c>
      <x:c r="AA72" s="87" t="str">
        <x:v>可入库</x:v>
      </x:c>
    </x:row>
    <x:row r="73" ht="46" customHeight="1">
      <x:c r="A73" s="87" t="n">
        <x:v>2023</x:v>
      </x:c>
      <x:c r="B73" s="87" t="str">
        <x:v>Z2023-0047</x:v>
      </x:c>
      <x:c r="C73" s="87" t="str">
        <x:v>中国归类决定(Z)</x:v>
      </x:c>
      <x:c r="D73" s="88" t="str">
        <x:v>9031.4990</x:v>
      </x:c>
      <x:c r="E73" s="88" t="str">
        <x:v>9031</x:v>
      </x:c>
      <x:c r="F73" s="88" t="str">
        <x:v>903149</x:v>
      </x:c>
      <x:c r="G73" s="88" t="str">
        <x:v>8位</x:v>
      </x:c>
      <x:c r="H73" s="87" t="str">
        <x:v>刀具检测器</x:v>
      </x:c>
      <x:c r="I73" s="87"/>
      <x:c r="J73" s="87" t="str">
        <x:v>无</x:v>
      </x:c>
      <x:c r="K73" s="87" t="str">
        <x:v>该商品由光学系统、图像处理系统、转台等组成，用于测量钻刀的刀长、刀径、刀具的偏摆值。运行原理为：利用光束对钻刀的刀长、刀径、刀具的偏摆值进行检验并将数据转换成电信号反馈给控制板，与控制板预设定值进行比较，若二者不符，则会发出警报。</x:v>
      </x:c>
      <x:c r="L73" s="87" t="str">
        <x:v>该商品的工作原理是基于检测器自身发射的红外光被钻刀遮蔽和通路来测量钻刀的刀长、刀径、刀具的偏摆值，属于光学检测装置， 根据归类总规则一及六，应归入税则号列9031.4990。</x:v>
      </x:c>
      <x:c r="M73" s="87" t="str">
        <x:v>归类总规则一及六</x:v>
      </x:c>
      <x:c r="N73" s="87" t="str">
        <x:v>海关总署公告2023年第94号</x:v>
      </x:c>
      <x:c r="O73" s="87"/>
      <x:c r="P73" s="87"/>
      <x:c r="Q73" s="87" t="str">
        <x:v>未在所附2025失效清单中</x:v>
      </x:c>
      <x:c r="R73" s="87"/>
      <x:c r="S73" s="87" t="str">
        <x:v>A</x:v>
      </x:c>
      <x:c r="T73" s="87" t="str">
        <x:v>用户提供的官方公告附件</x:v>
      </x:c>
      <x:c r="U73" s="87" t="str">
        <x:v>6351691393903988.doc</x:v>
      </x:c>
      <x:c r="V73" s="87"/>
      <x:c r="W73" s="87"/>
      <x:c r="X73" s="87" t="str">
        <x:v>官方附件原文</x:v>
      </x:c>
      <x:c r="Y73" s="89" t="str">
        <x:v>9031499000</x:v>
      </x:c>
      <x:c r="Z73" s="90" t="str">
        <x:v>前缀核对通过：唯一候选，待业务确认</x:v>
      </x:c>
      <x:c r="AA73" s="87" t="str">
        <x:v>可入库</x:v>
      </x:c>
    </x:row>
    <x:row r="74" ht="46" customHeight="1">
      <x:c r="A74" s="87" t="n">
        <x:v>2023</x:v>
      </x:c>
      <x:c r="B74" s="87" t="str">
        <x:v>Z2023-0048</x:v>
      </x:c>
      <x:c r="C74" s="87" t="str">
        <x:v>中国归类决定(Z)</x:v>
      </x:c>
      <x:c r="D74" s="88" t="str">
        <x:v>9031.4990</x:v>
      </x:c>
      <x:c r="E74" s="88" t="str">
        <x:v>9031</x:v>
      </x:c>
      <x:c r="F74" s="88" t="str">
        <x:v>903149</x:v>
      </x:c>
      <x:c r="G74" s="88" t="str">
        <x:v>8位</x:v>
      </x:c>
      <x:c r="H74" s="87" t="str">
        <x:v>自动光轴机</x:v>
      </x:c>
      <x:c r="I74" s="87"/>
      <x:c r="J74" s="87" t="str">
        <x:v>型号：ND9001</x:v>
      </x:c>
      <x:c r="K74" s="87" t="str">
        <x:v>该商品由红外线发射装置、感光元件、光电转换装置等组成，用于检测产品中光学部件的粘接倾斜度。运行原理为：该机发出红外线光，打在待检测的光学部件（对物镜）上，反射回该机自带的感光元件中，通过光电转换，在与之连接的显示器（显示器未进口）上显示出来。光学部件的倾斜度不同，经反射在显示器上就显示出不同位置的光斑，从而判定被检测的光学镜片是否在可允许的倾斜范围内。</x:v>
      </x:c>
      <x:c r="L74" s="87" t="str">
        <x:v>该商品属于光学检测仪器，根据《税则注释》对子目9031.49的注释，“本子目不仅包括直接帮助或提高人眼视觉的仪器及器具，还包括须通过使用光学元件或光学技术才能工作的仪器或装置”，由于该自动光轴机采用红外线光和感光传感器（CCD）技术，符合上述子目注释的规定，根据归类总规则一及六，应归入税则号列9031.4990。</x:v>
      </x:c>
      <x:c r="M74" s="87" t="str">
        <x:v>归类总规则一及六；《税则注释》对子目9031.49的注释</x:v>
      </x:c>
      <x:c r="N74" s="87" t="str">
        <x:v>海关总署公告2023年第94号</x:v>
      </x:c>
      <x:c r="O74" s="87"/>
      <x:c r="P74" s="87"/>
      <x:c r="Q74" s="87" t="str">
        <x:v>未在所附2025失效清单中</x:v>
      </x:c>
      <x:c r="R74" s="87"/>
      <x:c r="S74" s="87" t="str">
        <x:v>A</x:v>
      </x:c>
      <x:c r="T74" s="87" t="str">
        <x:v>用户提供的官方公告附件</x:v>
      </x:c>
      <x:c r="U74" s="87" t="str">
        <x:v>6351691393903988.doc</x:v>
      </x:c>
      <x:c r="V74" s="87"/>
      <x:c r="W74" s="87"/>
      <x:c r="X74" s="87" t="str">
        <x:v>官方附件原文</x:v>
      </x:c>
      <x:c r="Y74" s="89" t="str">
        <x:v>9031499000</x:v>
      </x:c>
      <x:c r="Z74" s="90" t="str">
        <x:v>前缀核对通过：唯一候选，待业务确认</x:v>
      </x:c>
      <x:c r="AA74" s="87" t="str">
        <x:v>可入库</x:v>
      </x:c>
    </x:row>
    <x:row r="75" ht="46" customHeight="1">
      <x:c r="A75" s="87" t="n">
        <x:v>2023</x:v>
      </x:c>
      <x:c r="B75" s="87" t="str">
        <x:v>Z2023-0049</x:v>
      </x:c>
      <x:c r="C75" s="87" t="str">
        <x:v>中国归类决定(Z)</x:v>
      </x:c>
      <x:c r="D75" s="88" t="str">
        <x:v>9032.8990</x:v>
      </x:c>
      <x:c r="E75" s="88" t="str">
        <x:v>9032</x:v>
      </x:c>
      <x:c r="F75" s="88" t="str">
        <x:v>903289</x:v>
      </x:c>
      <x:c r="G75" s="88" t="str">
        <x:v>8位</x:v>
      </x:c>
      <x:c r="H75" s="87" t="str">
        <x:v>汽车上的电子控制单元</x:v>
      </x:c>
      <x:c r="I75" s="87"/>
      <x:c r="J75" s="87" t="str">
        <x:v>无</x:v>
      </x:c>
      <x:c r="K75" s="87" t="str">
        <x:v>该商品由微机和外围电路组成（不含伺服元件），用于优化发动机空燃比。微机是在一块芯片上集成了微处理器、存储器和输入/输出信号接口的单元。运行原理为：电子控制器单元将输入信号转化为数字形式，根据存储的参考数进行对比加工，计算出输出值，输出信号再经功率放大控制调节伺服元件，从而控制喷油器喷出与进气量相匹配的燃油，使汽车发动机的空燃比最佳。</x:v>
      </x:c>
      <x:c r="L75" s="87" t="str">
        <x:v>该商品为具有优化发动机空燃比功能的电子控制原件，功能符合《税则》第九十章章注七对归入税目90.32的自动控制装置的要求，根据归类总规则一及六，应归入税则号列9032.8990。</x:v>
      </x:c>
      <x:c r="M75" s="87" t="str">
        <x:v>归类总规则一及六；《税则》第九十章章注七对归入税目90.32的自动控制装置的要求</x:v>
      </x:c>
      <x:c r="N75" s="87" t="str">
        <x:v>海关总署公告2023年第94号</x:v>
      </x:c>
      <x:c r="O75" s="87"/>
      <x:c r="P75" s="87"/>
      <x:c r="Q75" s="87" t="str">
        <x:v>未在所附2025失效清单中</x:v>
      </x:c>
      <x:c r="R75" s="87"/>
      <x:c r="S75" s="87" t="str">
        <x:v>A</x:v>
      </x:c>
      <x:c r="T75" s="87" t="str">
        <x:v>用户提供的官方公告附件</x:v>
      </x:c>
      <x:c r="U75" s="87" t="str">
        <x:v>6351691393903988.doc</x:v>
      </x:c>
      <x:c r="V75" s="87"/>
      <x:c r="W75" s="87"/>
      <x:c r="X75" s="87" t="str">
        <x:v>官方附件原文</x:v>
      </x:c>
      <x:c r="Y75" s="89" t="str"/>
      <x:c r="Z75" s="90" t="str">
        <x:v>前缀核对通过：12个候选，需人工映射</x:v>
      </x:c>
      <x:c r="AA75" s="87" t="str">
        <x:v>可入库</x:v>
      </x:c>
    </x:row>
    <x:row r="76" ht="46" customHeight="1">
      <x:c r="A76" s="87" t="n">
        <x:v>2023</x:v>
      </x:c>
      <x:c r="B76" s="87" t="str">
        <x:v>Z2023-0050</x:v>
      </x:c>
      <x:c r="C76" s="87" t="str">
        <x:v>中国归类决定(Z)</x:v>
      </x:c>
      <x:c r="D76" s="88" t="str">
        <x:v>9032.8990</x:v>
      </x:c>
      <x:c r="E76" s="88" t="str">
        <x:v>9032</x:v>
      </x:c>
      <x:c r="F76" s="88" t="str">
        <x:v>903289</x:v>
      </x:c>
      <x:c r="G76" s="88" t="str">
        <x:v>8位</x:v>
      </x:c>
      <x:c r="H76" s="87" t="str">
        <x:v>励磁设备</x:v>
      </x:c>
      <x:c r="I76" s="87"/>
      <x:c r="J76" s="87" t="str">
        <x:v>型号：UNITROL-5000型</x:v>
      </x:c>
      <x:c r="K76" s="87" t="str">
        <x:v>该商品主要由自动电压调节器、可控硅整流器和起励、灭磁等装置组成，通过利用可控硅整流器将三相交流电压转换为直流电压，由自动电压调节器根据电力系统的要求，控制可控硅整流器的输出，经过磁场断路器（灭磁装置），为发电机提供励磁电流，以确保发电机安全、可靠的向电力系统输送强大的电流。</x:v>
      </x:c>
      <x:c r="L76" s="87" t="str">
        <x:v>该商品属于电量自动调节器，根据其功能及用途，符合《税则》税目90.32及其子目条文的描述，根据归类总规则一及六，应归入税则号列9032.8990。</x:v>
      </x:c>
      <x:c r="M76" s="87" t="str">
        <x:v>归类总规则一及六；《税则》税目90.32及其子目条文的描述</x:v>
      </x:c>
      <x:c r="N76" s="87" t="str">
        <x:v>海关总署公告2023年第94号</x:v>
      </x:c>
      <x:c r="O76" s="87"/>
      <x:c r="P76" s="87"/>
      <x:c r="Q76" s="87" t="str">
        <x:v>未在所附2025失效清单中</x:v>
      </x:c>
      <x:c r="R76" s="87"/>
      <x:c r="S76" s="87" t="str">
        <x:v>A</x:v>
      </x:c>
      <x:c r="T76" s="87" t="str">
        <x:v>用户提供的官方公告附件</x:v>
      </x:c>
      <x:c r="U76" s="87" t="str">
        <x:v>6351691393903988.doc</x:v>
      </x:c>
      <x:c r="V76" s="87"/>
      <x:c r="W76" s="87"/>
      <x:c r="X76" s="87" t="str">
        <x:v>官方附件原文</x:v>
      </x:c>
      <x:c r="Y76" s="89" t="str"/>
      <x:c r="Z76" s="90" t="str">
        <x:v>前缀核对通过：12个候选，需人工映射</x:v>
      </x:c>
      <x:c r="AA76" s="87" t="str">
        <x:v>可入库</x:v>
      </x:c>
    </x:row>
    <x:row r="77" ht="46" customHeight="1">
      <x:c r="A77" s="87" t="n">
        <x:v>2023</x:v>
      </x:c>
      <x:c r="B77" s="87" t="str">
        <x:v>Z2023-0051</x:v>
      </x:c>
      <x:c r="C77" s="87" t="str">
        <x:v>中国归类决定(Z)</x:v>
      </x:c>
      <x:c r="D77" s="88" t="str">
        <x:v>9032.8990</x:v>
      </x:c>
      <x:c r="E77" s="88" t="str">
        <x:v>9032</x:v>
      </x:c>
      <x:c r="F77" s="88" t="str">
        <x:v>903289</x:v>
      </x:c>
      <x:c r="G77" s="88" t="str">
        <x:v>8位</x:v>
      </x:c>
      <x:c r="H77" s="87" t="str">
        <x:v>提升机电控系统</x:v>
      </x:c>
      <x:c r="I77" s="87"/>
      <x:c r="J77" s="87" t="str">
        <x:v>无</x:v>
      </x:c>
      <x:c r="K77" s="87" t="str">
        <x:v>该商品由编码器、井筒开关、西门子S7-400数字化控制装置、人—机监控系统、数字化直流传动装置和恒减速液压控制系统组成，各部分以PROFIBUS现场总线网络进行连接，通过信号采集、运算比较、启停操作实现对提升机的行程、速度和力矩的闭环控制。运行原理为：编码器和井筒开关采集提升机运行过程中的各种信号，数字化控制装置对其采集的信号进行计算、比较后，发出指令给数字化直流传动装置和恒减速液压控制系统，二者通过改变电流实现对提升机的行程、速度和力矩的闭环控制，使提升机按规定的速度图运行，人—机监控系统监控整个系统的运行状况并通过组态监控画面显示。</x:v>
      </x:c>
      <x:c r="L77" s="87" t="str">
        <x:v>该商品为具有信号采集、运算比较、启停操作功能的电控系统，符合《税则》税目90.32及其子目条文的描述，根据《税则》第九十章章注三“功能机组”的规定，及归类总规则一和六，应归入税则号列9032.8990。</x:v>
      </x:c>
      <x:c r="M77" s="87" t="str">
        <x:v>归类总规则一和六；《税则》税目90.32及其子目条文的描述；《税则》第九十章章注三“功能机组”的规定</x:v>
      </x:c>
      <x:c r="N77" s="87" t="str">
        <x:v>海关总署公告2023年第94号</x:v>
      </x:c>
      <x:c r="O77" s="87"/>
      <x:c r="P77" s="87"/>
      <x:c r="Q77" s="87" t="str">
        <x:v>未在所附2025失效清单中</x:v>
      </x:c>
      <x:c r="R77" s="87"/>
      <x:c r="S77" s="87" t="str">
        <x:v>A</x:v>
      </x:c>
      <x:c r="T77" s="87" t="str">
        <x:v>用户提供的官方公告附件</x:v>
      </x:c>
      <x:c r="U77" s="87" t="str">
        <x:v>6351691393903988.doc</x:v>
      </x:c>
      <x:c r="V77" s="87"/>
      <x:c r="W77" s="87"/>
      <x:c r="X77" s="87" t="str">
        <x:v>官方附件原文</x:v>
      </x:c>
      <x:c r="Y77" s="89" t="str"/>
      <x:c r="Z77" s="90" t="str">
        <x:v>前缀核对通过：12个候选，需人工映射</x:v>
      </x:c>
      <x:c r="AA77" s="87" t="str">
        <x:v>可入库</x:v>
      </x:c>
    </x:row>
    <x:row r="78" ht="46" customHeight="1">
      <x:c r="A78" s="87" t="n">
        <x:v>2024</x:v>
      </x:c>
      <x:c r="B78" s="87" t="str">
        <x:v>Z2024-0008</x:v>
      </x:c>
      <x:c r="C78" s="87" t="str">
        <x:v>中国归类决定(Z)</x:v>
      </x:c>
      <x:c r="D78" s="88" t="str">
        <x:v>0813.3000</x:v>
      </x:c>
      <x:c r="E78" s="88" t="str">
        <x:v>0813</x:v>
      </x:c>
      <x:c r="F78" s="88" t="str">
        <x:v>081330</x:v>
      </x:c>
      <x:c r="G78" s="88" t="str">
        <x:v>8位</x:v>
      </x:c>
      <x:c r="H78" s="87" t="str">
        <x:v>脱水苹果粒</x:v>
      </x:c>
      <x:c r="I78" s="87"/>
      <x:c r="J78" s="87" t="str">
        <x:v>散装</x:v>
      </x:c>
      <x:c r="K78" s="87" t="str">
        <x:v>焦黄色颗粒，粒径约7毫米。原料成分含量：新鲜苹果98%，葡萄糖2%。加工工艺：完整苹果经过清洗、削皮、去核、切丁、消毒、加入葡萄糖（使产品甜度保持一致）、进入烘箱烘干（烘箱内温度55—95摄氏度，时间约3—4小时，烘干至水分约5%）、冷却、洒水（改善口感），最后包装。该产品可直接食用。</x:v>
      </x:c>
      <x:c r="L78" s="87" t="str">
        <x:v>根据《税则》第一类注释二规定：“除条文另有规定的以外，本目录所称干的产品，均包括经脱水、蒸发或冷冻干燥的产品”。根据《税则注释》品目08.13规定，“包括新鲜时归入品目08.07至08.10的干果，它们是通过直接在阳光下晒干或通过工业加工（例如，隧道式风干）制得”。根据《税则注释》第八章“总注释”规定，“本章的果实如果仅加入少量的糖，不影响其商品归类”。同时，该商品加入的葡萄糖仅能对苹果干的原有味道起到一定的调节作用，符合《税则》第八章注释三“保持干果的特征”的要求。因此，根据归类总规则一及六，该商品应归入税则号列0813.3000。</x:v>
      </x:c>
      <x:c r="M78" s="87" t="str">
        <x:v>归类总规则一及六；《税则》第一类注释二规定：“除条文另有规定的以外；《税则注释》品目08.13规定；《税则注释》第八章“总注释”规定；《税则》第八章注释三“保持干果的特征”的要求</x:v>
      </x:c>
      <x:c r="N78" s="87" t="str">
        <x:v>海关总署公告2024年第116号</x:v>
      </x:c>
      <x:c r="O78" s="87" t="str">
        <x:v>2024-09-12</x:v>
      </x:c>
      <x:c r="P78" s="87" t="str">
        <x:v>2024-09-12</x:v>
      </x:c>
      <x:c r="Q78" s="87" t="str">
        <x:v>未在所附2025失效清单中</x:v>
      </x:c>
      <x:c r="R78" s="87"/>
      <x:c r="S78" s="87" t="str">
        <x:v>A</x:v>
      </x:c>
      <x:c r="T78" s="87" t="str">
        <x:v>用户提供的官方公告附件</x:v>
      </x:c>
      <x:c r="U78" s="87" t="str">
        <x:v>有关商品归类决定.doc</x:v>
      </x:c>
      <x:c r="V78" s="87"/>
      <x:c r="W78" s="87" t="str">
        <x:v>https://www.mofcom.gov.cn/zcfb/zgdwjjmywg/art/2024/art_10eea87de2834b67a5aebb...</x:v>
      </x:c>
      <x:c r="X78" s="87" t="str">
        <x:v>官方附件原文</x:v>
      </x:c>
      <x:c r="Y78" s="89" t="str">
        <x:v>0813300000</x:v>
      </x:c>
      <x:c r="Z78" s="90" t="str">
        <x:v>前缀核对通过：唯一候选，待业务确认</x:v>
      </x:c>
      <x:c r="AA78" s="87" t="str">
        <x:v>可入库</x:v>
      </x:c>
    </x:row>
    <x:row r="79" ht="46" customHeight="1">
      <x:c r="A79" s="87" t="n">
        <x:v>2024</x:v>
      </x:c>
      <x:c r="B79" s="87" t="str">
        <x:v>Z2024-0009</x:v>
      </x:c>
      <x:c r="C79" s="87" t="str">
        <x:v>中国归类决定(Z)</x:v>
      </x:c>
      <x:c r="D79" s="88" t="str">
        <x:v>2005.5199</x:v>
      </x:c>
      <x:c r="E79" s="88" t="str">
        <x:v>2005</x:v>
      </x:c>
      <x:c r="F79" s="88" t="str">
        <x:v>200551</x:v>
      </x:c>
      <x:c r="G79" s="88" t="str">
        <x:v>8位</x:v>
      </x:c>
      <x:c r="H79" s="87" t="str">
        <x:v>烘烤脱荚绿豆</x:v>
      </x:c>
      <x:c r="I79" s="87"/>
      <x:c r="J79" s="87" t="str">
        <x:v>散装</x:v>
      </x:c>
      <x:c r="K79" s="87" t="str">
        <x:v>烘烤脱荚绿豆，淡黄色，将绿豆脱荚，使用电炉在160摄氏度至180摄氏度烘烤25至30分钟制成，在烘烤过程中有部分绿豆自然开裂。</x:v>
      </x:c>
      <x:c r="L79" s="87" t="str">
        <x:v>根据《税则注释》品目07.13的规定，“热处理不应影响其子叶的内部特征”，该商品经加热使部分绿豆自然开裂，从而改变了子叶的内部特征，因此加工工艺超出了第七章的范畴。根据归类总规则一及六，该商品应归入税则号列2005.5199。</x:v>
      </x:c>
      <x:c r="M79" s="87" t="str">
        <x:v>归类总规则一及六；《税则注释》品目07.13的规定</x:v>
      </x:c>
      <x:c r="N79" s="87" t="str">
        <x:v>海关总署公告2024年第116号</x:v>
      </x:c>
      <x:c r="O79" s="87" t="str">
        <x:v>2024-09-12</x:v>
      </x:c>
      <x:c r="P79" s="87" t="str">
        <x:v>2024-09-12</x:v>
      </x:c>
      <x:c r="Q79" s="87" t="str">
        <x:v>未在所附2025失效清单中</x:v>
      </x:c>
      <x:c r="R79" s="87"/>
      <x:c r="S79" s="87" t="str">
        <x:v>A</x:v>
      </x:c>
      <x:c r="T79" s="87" t="str">
        <x:v>用户提供的官方公告附件</x:v>
      </x:c>
      <x:c r="U79" s="87" t="str">
        <x:v>有关商品归类决定.doc</x:v>
      </x:c>
      <x:c r="V79" s="87"/>
      <x:c r="W79" s="87" t="str">
        <x:v>https://www.mofcom.gov.cn/zcfb/zgdwjjmywg/art/2024/art_10eea87de2834b67a5aebb...</x:v>
      </x:c>
      <x:c r="X79" s="87" t="str">
        <x:v>官方附件原文</x:v>
      </x:c>
      <x:c r="Y79" s="89" t="str">
        <x:v>2005519900</x:v>
      </x:c>
      <x:c r="Z79" s="90" t="str">
        <x:v>前缀核对通过：唯一候选，待业务确认</x:v>
      </x:c>
      <x:c r="AA79" s="87" t="str">
        <x:v>可入库</x:v>
      </x:c>
    </x:row>
    <x:row r="80" ht="46" customHeight="1">
      <x:c r="A80" s="87" t="n">
        <x:v>2024</x:v>
      </x:c>
      <x:c r="B80" s="87" t="str">
        <x:v>Z2024-0010</x:v>
      </x:c>
      <x:c r="C80" s="87" t="str">
        <x:v>中国归类决定(Z)</x:v>
      </x:c>
      <x:c r="D80" s="88" t="str">
        <x:v>2106.9090</x:v>
      </x:c>
      <x:c r="E80" s="88" t="str">
        <x:v>2106</x:v>
      </x:c>
      <x:c r="F80" s="88" t="str">
        <x:v>210690</x:v>
      </x:c>
      <x:c r="G80" s="88" t="str">
        <x:v>8位</x:v>
      </x:c>
      <x:c r="H80" s="87" t="str">
        <x:v>醋精</x:v>
      </x:c>
      <x:c r="I80" s="87"/>
      <x:c r="J80" s="87" t="str">
        <x:v>480ML/瓶</x:v>
      </x:c>
      <x:c r="K80" s="87" t="str">
        <x:v>成分含量：饮用水61.52%，乙酸18.3%，酿造食醋20%，白砂糖0.15%，食用盐0.03%。其中乙酸的总酸含量为98.5克/100毫升，酿造食醋的总酸含量为10.5克/100毫升。用途：用于烹调、点蘸、腌渍食品等，使用时需适量兑水。</x:v>
      </x:c>
      <x:c r="L80" s="87" t="str">
        <x:v>该商品为高纯度乙酸和食醋的混合物，添加微量调味物质，总醋酸含量超过15%。根据《税则注释》品目22.09的排他条款（一），该商品不应归入品目22.09。该商品符合《税则》第三十八章注释一“（二）化学品与食品或其他营养物质的混合物，配制食品用的（一般归入品目21.06）”的规定，根据归类总规则一及六，应归入税则号列2106.9090。</x:v>
      </x:c>
      <x:c r="M80" s="87" t="str">
        <x:v>归类总规则一及六；《税则注释》品目22.09的排他条款（一）；《税则》第三十八章注释一“（二）化学品与食品或其他营养物质的混合物</x:v>
      </x:c>
      <x:c r="N80" s="87" t="str">
        <x:v>海关总署公告2024年第116号</x:v>
      </x:c>
      <x:c r="O80" s="87" t="str">
        <x:v>2024-09-12</x:v>
      </x:c>
      <x:c r="P80" s="87" t="str">
        <x:v>2024-09-12</x:v>
      </x:c>
      <x:c r="Q80" s="87" t="str">
        <x:v>未在所附2025失效清单中</x:v>
      </x:c>
      <x:c r="R80" s="87"/>
      <x:c r="S80" s="87" t="str">
        <x:v>A</x:v>
      </x:c>
      <x:c r="T80" s="87" t="str">
        <x:v>用户提供的官方公告附件</x:v>
      </x:c>
      <x:c r="U80" s="87" t="str">
        <x:v>有关商品归类决定.doc</x:v>
      </x:c>
      <x:c r="V80" s="87"/>
      <x:c r="W80" s="87" t="str">
        <x:v>https://www.mofcom.gov.cn/zcfb/zgdwjjmywg/art/2024/art_10eea87de2834b67a5aebb...</x:v>
      </x:c>
      <x:c r="X80" s="87" t="str">
        <x:v>官方附件原文</x:v>
      </x:c>
      <x:c r="Y80" s="89" t="str"/>
      <x:c r="Z80" s="90" t="str">
        <x:v>前缀核对通过：4个候选，需人工映射</x:v>
      </x:c>
      <x:c r="AA80" s="87" t="str">
        <x:v>可入库</x:v>
      </x:c>
    </x:row>
    <x:row r="81" ht="46" customHeight="1">
      <x:c r="A81" s="87" t="n">
        <x:v>2024</x:v>
      </x:c>
      <x:c r="B81" s="87" t="str">
        <x:v>Z2024-0011</x:v>
      </x:c>
      <x:c r="C81" s="87" t="str">
        <x:v>中国归类决定(Z)</x:v>
      </x:c>
      <x:c r="D81" s="88" t="str">
        <x:v>6914.9000</x:v>
      </x:c>
      <x:c r="E81" s="88" t="str">
        <x:v>6914</x:v>
      </x:c>
      <x:c r="F81" s="88" t="str">
        <x:v>691490</x:v>
      </x:c>
      <x:c r="G81" s="88" t="str">
        <x:v>8位</x:v>
      </x:c>
      <x:c r="H81" s="87" t="str">
        <x:v>预烧制牙科用氧化锆块</x:v>
      </x:c>
      <x:c r="I81" s="87"/>
      <x:c r="J81" s="87" t="str">
        <x:v>无</x:v>
      </x:c>
      <x:c r="K81" s="87" t="str">
        <x:v>白色圆饼状，为氧化锆与微量金属氧化物、粘结剂等经预配混合干压成圆饼状，再经过冷等静压、高温烧制而成（烧制温度最高达1040℃）。该商品主要用于制作假牙或牙科修复体。</x:v>
      </x:c>
      <x:c r="L81" s="87" t="str">
        <x:v>该商品为氧化锆与微量金属氧化物、粘结剂等经预配混合干压成圆饼状，再经过冷等静压、高温烧制而成（烧制温度最高达1040℃），实际使用时，需制成义齿形状后再经更高温度烧制至完全瓷化。该商品符合《税则》第六十九章注释一的规定、及《税则注释》第六十九章总注释关于陶瓷产品的描述，应按陶瓷制品归入税目69.14项下。根据归类总规则一及六，该商品应归入税则号列6914.9000。</x:v>
      </x:c>
      <x:c r="M81" s="87" t="str">
        <x:v>归类总规则一及六；《税则》第六十九章注释一的规定、及《税则注释》第六十九章总注释关于陶瓷产品的描述</x:v>
      </x:c>
      <x:c r="N81" s="87" t="str">
        <x:v>海关总署公告2024年第116号</x:v>
      </x:c>
      <x:c r="O81" s="87" t="str">
        <x:v>2024-09-12</x:v>
      </x:c>
      <x:c r="P81" s="87" t="str">
        <x:v>2024-09-12</x:v>
      </x:c>
      <x:c r="Q81" s="87" t="str">
        <x:v>未在所附2025失效清单中</x:v>
      </x:c>
      <x:c r="R81" s="87"/>
      <x:c r="S81" s="87" t="str">
        <x:v>A</x:v>
      </x:c>
      <x:c r="T81" s="87" t="str">
        <x:v>用户提供的官方公告附件</x:v>
      </x:c>
      <x:c r="U81" s="87" t="str">
        <x:v>有关商品归类决定.doc</x:v>
      </x:c>
      <x:c r="V81" s="87"/>
      <x:c r="W81" s="87" t="str">
        <x:v>https://www.mofcom.gov.cn/zcfb/zgdwjjmywg/art/2024/art_10eea87de2834b67a5aebb...</x:v>
      </x:c>
      <x:c r="X81" s="87" t="str">
        <x:v>官方附件原文</x:v>
      </x:c>
      <x:c r="Y81" s="89" t="str">
        <x:v>6914900000</x:v>
      </x:c>
      <x:c r="Z81" s="90" t="str">
        <x:v>前缀核对通过：唯一候选，待业务确认</x:v>
      </x:c>
      <x:c r="AA81" s="87" t="str">
        <x:v>可入库</x:v>
      </x:c>
    </x:row>
    <x:row r="82" ht="46" customHeight="1">
      <x:c r="A82" s="87" t="n">
        <x:v>2024</x:v>
      </x:c>
      <x:c r="B82" s="87" t="str">
        <x:v>Z2024-0012</x:v>
      </x:c>
      <x:c r="C82" s="87" t="str">
        <x:v>中国归类决定(Z)</x:v>
      </x:c>
      <x:c r="D82" s="88" t="str">
        <x:v>3824.9999</x:v>
      </x:c>
      <x:c r="E82" s="88" t="str">
        <x:v>3824</x:v>
      </x:c>
      <x:c r="F82" s="88" t="str">
        <x:v>382499</x:v>
      </x:c>
      <x:c r="G82" s="88" t="str">
        <x:v>8位</x:v>
      </x:c>
      <x:c r="H82" s="87" t="str">
        <x:v>未烧制牙科用氧化锆块</x:v>
      </x:c>
      <x:c r="I82" s="87"/>
      <x:c r="J82" s="87" t="str">
        <x:v>无</x:v>
      </x:c>
      <x:c r="K82" s="87" t="str">
        <x:v>圆形，直径98毫米，高14毫米。主要由氧化锆及少量其他金属氧化物组成，材料经预配混合后经冷等静压成型，未经高温烧制。该商品主要用于制作假牙或牙科修复体。</x:v>
      </x:c>
      <x:c r="L82" s="87" t="str">
        <x:v>该商品主要由氧化锆及少量其他金属氧化物组成，材料经预配混合后经冷等静压成型，未经高温烧制。该商品符合《税则注释》第三十八章品目38.24二（二十五）“用于制某些陶瓷物品（假牙等）的制剂”的描述，应按未列名化工品归入税目38.24项下。根据归类总规则一及六，该商品应归入税则号列3824.9999。</x:v>
      </x:c>
      <x:c r="M82" s="87" t="str">
        <x:v>归类总规则一及六；《税则注释》第三十八章品目38.24二（二十五）“用于制某些陶瓷物品（假牙等）的制剂”的描述</x:v>
      </x:c>
      <x:c r="N82" s="87" t="str">
        <x:v>海关总署公告2024年第116号</x:v>
      </x:c>
      <x:c r="O82" s="87" t="str">
        <x:v>2024-09-12</x:v>
      </x:c>
      <x:c r="P82" s="87" t="str">
        <x:v>2024-09-12</x:v>
      </x:c>
      <x:c r="Q82" s="87" t="str">
        <x:v>未在所附2025失效清单中</x:v>
      </x:c>
      <x:c r="R82" s="87"/>
      <x:c r="S82" s="87" t="str">
        <x:v>A</x:v>
      </x:c>
      <x:c r="T82" s="87" t="str">
        <x:v>用户提供的官方公告附件</x:v>
      </x:c>
      <x:c r="U82" s="87" t="str">
        <x:v>有关商品归类决定.doc</x:v>
      </x:c>
      <x:c r="V82" s="87"/>
      <x:c r="W82" s="87" t="str">
        <x:v>https://www.mofcom.gov.cn/zcfb/zgdwjjmywg/art/2024/art_10eea87de2834b67a5aebb...</x:v>
      </x:c>
      <x:c r="X82" s="87" t="str">
        <x:v>官方附件原文</x:v>
      </x:c>
      <x:c r="Y82" s="89" t="str"/>
      <x:c r="Z82" s="90" t="str">
        <x:v>前缀核对通过：15个候选，需人工映射</x:v>
      </x:c>
      <x:c r="AA82" s="87" t="str">
        <x:v>可入库</x:v>
      </x:c>
    </x:row>
    <x:row r="83" ht="46" customHeight="1">
      <x:c r="A83" s="87" t="n">
        <x:v>2024</x:v>
      </x:c>
      <x:c r="B83" s="87" t="str">
        <x:v>Z2024-0013</x:v>
      </x:c>
      <x:c r="C83" s="87" t="str">
        <x:v>中国归类决定(Z)</x:v>
      </x:c>
      <x:c r="D83" s="88" t="str">
        <x:v>3824.9999</x:v>
      </x:c>
      <x:c r="E83" s="88" t="str">
        <x:v>3824</x:v>
      </x:c>
      <x:c r="F83" s="88" t="str">
        <x:v>382499</x:v>
      </x:c>
      <x:c r="G83" s="88" t="str">
        <x:v>8位</x:v>
      </x:c>
      <x:c r="H83" s="87" t="str">
        <x:v>未烧制牙科用氧化锆块</x:v>
      </x:c>
      <x:c r="I83" s="87"/>
      <x:c r="J83" s="87" t="str">
        <x:v>无</x:v>
      </x:c>
      <x:c r="K83" s="87" t="str">
        <x:v>尺寸为长89毫米×宽71毫米×高16毫米。它主要由氧化锆及少量其他金属氧化物组成，材料经预配混合后经冷等静压成型，未经高温烧制。该商品主要用于制作假牙或牙科修复体。</x:v>
      </x:c>
      <x:c r="L83" s="87" t="str">
        <x:v>该商品主要由氧化锆及少量其他金属氧化物组成，材料经预配混合后经冷等静压成型，未经高温烧制。该商品符合《税则注释》第三十八章品目38.24二（二十五）“用于制某些陶瓷物品（假牙等）的制剂”的描述，应按未列名化工品归入税目38.24项下。根据归类总规则一及六，该商品应归入税则号列3824.9999。</x:v>
      </x:c>
      <x:c r="M83" s="87" t="str">
        <x:v>归类总规则一及六；《税则注释》第三十八章品目38.24二（二十五）“用于制某些陶瓷物品（假牙等）的制剂”的描述</x:v>
      </x:c>
      <x:c r="N83" s="87" t="str">
        <x:v>海关总署公告2024年第116号</x:v>
      </x:c>
      <x:c r="O83" s="87" t="str">
        <x:v>2024-09-12</x:v>
      </x:c>
      <x:c r="P83" s="87" t="str">
        <x:v>2024-09-12</x:v>
      </x:c>
      <x:c r="Q83" s="87" t="str">
        <x:v>未在所附2025失效清单中</x:v>
      </x:c>
      <x:c r="R83" s="87"/>
      <x:c r="S83" s="87" t="str">
        <x:v>A</x:v>
      </x:c>
      <x:c r="T83" s="87" t="str">
        <x:v>用户提供的官方公告附件</x:v>
      </x:c>
      <x:c r="U83" s="87" t="str">
        <x:v>有关商品归类决定.doc</x:v>
      </x:c>
      <x:c r="V83" s="87"/>
      <x:c r="W83" s="87" t="str">
        <x:v>https://www.mofcom.gov.cn/zcfb/zgdwjjmywg/art/2024/art_10eea87de2834b67a5aebb...</x:v>
      </x:c>
      <x:c r="X83" s="87" t="str">
        <x:v>官方附件原文</x:v>
      </x:c>
      <x:c r="Y83" s="89" t="str"/>
      <x:c r="Z83" s="90" t="str">
        <x:v>前缀核对通过：15个候选，需人工映射</x:v>
      </x:c>
      <x:c r="AA83" s="87" t="str">
        <x:v>可入库</x:v>
      </x:c>
    </x:row>
    <x:row r="84" ht="46" customHeight="1">
      <x:c r="A84" s="87" t="n">
        <x:v>2024</x:v>
      </x:c>
      <x:c r="B84" s="87" t="str">
        <x:v>Z2024-0014</x:v>
      </x:c>
      <x:c r="C84" s="87" t="str">
        <x:v>中国归类决定(Z)</x:v>
      </x:c>
      <x:c r="D84" s="88" t="str">
        <x:v>8543.7099</x:v>
      </x:c>
      <x:c r="E84" s="88" t="str">
        <x:v>8543</x:v>
      </x:c>
      <x:c r="F84" s="88" t="str">
        <x:v>854370</x:v>
      </x:c>
      <x:c r="G84" s="88" t="str">
        <x:v>8位</x:v>
      </x:c>
      <x:c r="H84" s="87" t="str">
        <x:v>速度编码器</x:v>
      </x:c>
      <x:c r="I84" s="87"/>
      <x:c r="J84" s="87" t="str">
        <x:v>霍尔传感器、转速传感器</x:v>
      </x:c>
      <x:c r="K84" s="87" t="str">
        <x:v>该商品主要由霍尔感应元件和电子信号转换模块两部分组成，其功能为将霍尔元件感应到的电机转速量转变为数字脉冲信号输出。即当用于机车时，电机转动的速度通过该装置转变为脉冲信号传递出来，通过外部逆变计算，可得出机车时速。广泛应用于机械电机行业。</x:v>
      </x:c>
      <x:c r="L84" s="87" t="str">
        <x:v>该商品主要由霍尔感应元件和电子信号转换模块两部分组成，其中霍尔感应元件由磁感应探头和电磁绕组构成。外部电机转动引起的磁场变化由霍尔感应元件转换为电流变化模拟量，经电子信号转换模块转化为数字脉冲信号后输出。该商品具有将磁场变化编码为数字脉冲信号的独立功能，该功能并未在八十五章其他品目列名，根据归类总规则一及六，应归入税则号列8543.7099。</x:v>
      </x:c>
      <x:c r="M84" s="87" t="str">
        <x:v>归类总规则一及六</x:v>
      </x:c>
      <x:c r="N84" s="87" t="str">
        <x:v>海关总署公告2024年第116号</x:v>
      </x:c>
      <x:c r="O84" s="87" t="str">
        <x:v>2024-09-12</x:v>
      </x:c>
      <x:c r="P84" s="87" t="str">
        <x:v>2024-09-12</x:v>
      </x:c>
      <x:c r="Q84" s="87" t="str">
        <x:v>未在所附2025失效清单中</x:v>
      </x:c>
      <x:c r="R84" s="87"/>
      <x:c r="S84" s="87" t="str">
        <x:v>A</x:v>
      </x:c>
      <x:c r="T84" s="87" t="str">
        <x:v>用户提供的官方公告附件</x:v>
      </x:c>
      <x:c r="U84" s="87" t="str">
        <x:v>有关商品归类决定.doc</x:v>
      </x:c>
      <x:c r="V84" s="87"/>
      <x:c r="W84" s="87" t="str">
        <x:v>https://www.mofcom.gov.cn/zcfb/zgdwjjmywg/art/2024/art_10eea87de2834b67a5aebb...</x:v>
      </x:c>
      <x:c r="X84" s="87" t="str">
        <x:v>官方附件原文</x:v>
      </x:c>
      <x:c r="Y84" s="89" t="str"/>
      <x:c r="Z84" s="90" t="str">
        <x:v>前缀核对通过：7个候选，需人工映射</x:v>
      </x:c>
      <x:c r="AA84" s="87" t="str">
        <x:v>可入库</x:v>
      </x:c>
    </x:row>
    <x:row r="85" ht="46" customHeight="1">
      <x:c r="A85" s="87" t="n">
        <x:v>2024</x:v>
      </x:c>
      <x:c r="B85" s="87" t="str">
        <x:v>Z2024-0015</x:v>
      </x:c>
      <x:c r="C85" s="87" t="str">
        <x:v>中国归类决定(Z)</x:v>
      </x:c>
      <x:c r="D85" s="88" t="str">
        <x:v>8711.6000</x:v>
      </x:c>
      <x:c r="E85" s="88" t="str">
        <x:v>8711</x:v>
      </x:c>
      <x:c r="F85" s="88" t="str">
        <x:v>871160</x:v>
      </x:c>
      <x:c r="G85" s="88" t="str">
        <x:v>8位</x:v>
      </x:c>
      <x:c r="H85" s="87" t="str">
        <x:v>三轮自卸车</x:v>
      </x:c>
      <x:c r="I85" s="87"/>
      <x:c r="J85" s="87" t="str">
        <x:v>无</x:v>
      </x:c>
      <x:c r="K85" s="87" t="str">
        <x:v>三轮自卸车，总重570千克，最大时速25千米每小时，电动机驱动，具有液压泵和液压缸以及可倾倒自卸的车斗，由动力总成、电传动系统、电动轮、前后轮、悬挂、转向系统（简易方向盘转向，不属于国家标准GB/T35360-2017项下的汽车型转向系统）、攀升系统、制动系统、驾驶系统、车架总成、车厢总成等构成，无逆向齿轮，有差速器。用于在山区、矿场或其他工作区域进行土壤、岩石等物料的装卸作业。</x:v>
      </x:c>
      <x:c r="L85" s="87" t="str">
        <x:v>该商品不具有符合国标GB/T35360-2017《汽车转向系统术语和定义》要求的汽车型转向系统，不具有逆向齿轮，仅有单一驱动电机，用于在山区、矿场或其他工作区域进行的土壤、岩石等物料的运输装卸作业,是一种电动载货三轮车。该商品不符合《税则注释》第八十七章品目87.03和87.04所列三轮车的特征，根据归类总规则一及六，应归入税则号列8711.6000。</x:v>
      </x:c>
      <x:c r="M85" s="87" t="str">
        <x:v>归类总规则一及六；《税则注释》第八十七章品目87.03和87.04所列三轮车的特征</x:v>
      </x:c>
      <x:c r="N85" s="87" t="str">
        <x:v>海关总署公告2024年第116号</x:v>
      </x:c>
      <x:c r="O85" s="87" t="str">
        <x:v>2024-09-12</x:v>
      </x:c>
      <x:c r="P85" s="87" t="str">
        <x:v>2024-09-12</x:v>
      </x:c>
      <x:c r="Q85" s="87" t="str">
        <x:v>未在所附2025失效清单中</x:v>
      </x:c>
      <x:c r="R85" s="87"/>
      <x:c r="S85" s="87" t="str">
        <x:v>A</x:v>
      </x:c>
      <x:c r="T85" s="87" t="str">
        <x:v>用户提供的官方公告附件</x:v>
      </x:c>
      <x:c r="U85" s="87" t="str">
        <x:v>有关商品归类决定.doc</x:v>
      </x:c>
      <x:c r="V85" s="87"/>
      <x:c r="W85" s="87" t="str">
        <x:v>https://www.mofcom.gov.cn/zcfb/zgdwjjmywg/art/2024/art_10eea87de2834b67a5aebb...</x:v>
      </x:c>
      <x:c r="X85" s="87" t="str">
        <x:v>官方附件原文</x:v>
      </x:c>
      <x:c r="Y85" s="89" t="str">
        <x:v>8711600000</x:v>
      </x:c>
      <x:c r="Z85" s="90" t="str">
        <x:v>前缀核对通过：唯一候选，待业务确认</x:v>
      </x:c>
      <x:c r="AA85" s="87" t="str">
        <x:v>可入库</x:v>
      </x:c>
    </x:row>
    <x:row r="86" ht="46" customHeight="1">
      <x:c r="A86" s="87" t="n">
        <x:v>2024</x:v>
      </x:c>
      <x:c r="B86" s="87" t="str">
        <x:v>Z2024-0016</x:v>
      </x:c>
      <x:c r="C86" s="87" t="str">
        <x:v>中国归类决定(Z)</x:v>
      </x:c>
      <x:c r="D86" s="88" t="str">
        <x:v>8424.8999</x:v>
      </x:c>
      <x:c r="E86" s="88" t="str">
        <x:v>8424</x:v>
      </x:c>
      <x:c r="F86" s="88" t="str">
        <x:v>842489</x:v>
      </x:c>
      <x:c r="G86" s="88" t="str">
        <x:v>8位</x:v>
      </x:c>
      <x:c r="H86" s="87" t="str">
        <x:v>涂敷机</x:v>
      </x:c>
      <x:c r="I86" s="87"/>
      <x:c r="J86" s="87" t="str">
        <x:v>无</x:v>
      </x:c>
      <x:c r="K86" s="87" t="str">
        <x:v>该商品主要由放卷装置、涂敷装置、干燥装置、排出单元、半纵切装置、收卷装置、控制系统组成，用于制作锂电池的电极片。主要工艺流程是将成卷的铜或铝箔（基材）置于放卷装置后，通过传动辊输送到涂敷装置处，涂敷装置将一定压力和流量的低粘度液体浆料通过硬喷嘴以水平方向喷出，直接涂布在基材上，经干燥和纵切后完成收卷。</x:v>
      </x:c>
      <x:c r="L86" s="87" t="str">
        <x:v>该商品所有设备安装在一个机架上，符合第十六类类注三关于组合式机器的规定。其中涂敷装置为体现整套设备主要功能的部件，其通过喷射实现涂布，根据归类总规则一及六，应归入税则号列8424.8999。</x:v>
      </x:c>
      <x:c r="M86" s="87" t="str">
        <x:v>归类总规则一及六</x:v>
      </x:c>
      <x:c r="N86" s="87" t="str">
        <x:v>海关总署公告2024年第116号</x:v>
      </x:c>
      <x:c r="O86" s="87" t="str">
        <x:v>2024-09-12</x:v>
      </x:c>
      <x:c r="P86" s="87" t="str">
        <x:v>2024-09-12</x:v>
      </x:c>
      <x:c r="Q86" s="87" t="str">
        <x:v>未在所附2025失效清单中</x:v>
      </x:c>
      <x:c r="R86" s="87"/>
      <x:c r="S86" s="87" t="str">
        <x:v>A</x:v>
      </x:c>
      <x:c r="T86" s="87" t="str">
        <x:v>用户提供的官方公告附件</x:v>
      </x:c>
      <x:c r="U86" s="87" t="str">
        <x:v>有关商品归类决定.doc</x:v>
      </x:c>
      <x:c r="V86" s="87"/>
      <x:c r="W86" s="87" t="str">
        <x:v>https://www.mofcom.gov.cn/zcfb/zgdwjjmywg/art/2024/art_10eea87de2834b67a5aebb...</x:v>
      </x:c>
      <x:c r="X86" s="87" t="str">
        <x:v>官方附件原文</x:v>
      </x:c>
      <x:c r="Y86" s="89" t="str"/>
      <x:c r="Z86" s="90" t="str">
        <x:v>前缀核对通过：2个候选，需人工映射</x:v>
      </x:c>
      <x:c r="AA86" s="87" t="str">
        <x:v>可入库</x:v>
      </x:c>
    </x:row>
    <x:row r="87" ht="46" customHeight="1">
      <x:c r="A87" s="87" t="n">
        <x:v>2024</x:v>
      </x:c>
      <x:c r="B87" s="87" t="str">
        <x:v>Z2024-0017</x:v>
      </x:c>
      <x:c r="C87" s="87" t="str">
        <x:v>中国归类决定(Z)</x:v>
      </x:c>
      <x:c r="D87" s="88" t="str">
        <x:v>8486.9099</x:v>
      </x:c>
      <x:c r="E87" s="88" t="str">
        <x:v>8486</x:v>
      </x:c>
      <x:c r="F87" s="88" t="str">
        <x:v>848690</x:v>
      </x:c>
      <x:c r="G87" s="88" t="str">
        <x:v>8位</x:v>
      </x:c>
      <x:c r="H87" s="87" t="str">
        <x:v>集成电路（含半导体器件）制造用自粘式圆形抛光垫</x:v>
      </x:c>
      <x:c r="I87" s="87"/>
      <x:c r="J87" s="87" t="str">
        <x:v>无</x:v>
      </x:c>
      <x:c r="K87" s="87" t="str">
        <x:v>该商品专用于集成电路（含半导体器件）制造工艺用的化学机械抛光（CMP）机，加工面材质为多孔聚氨酯泡沫，反面带有自粘材料，可以装配在抛光机的抛光平台上。配合抛光液对已经在晶圆表面蚀刻了电路的集成电路半成品（芯片可以有多层电路构成）进行抛光，抛光对象为由金属、半导体等材料构成的表面。</x:v>
      </x:c>
      <x:c r="L87" s="87" t="str">
        <x:v>该商品为抛光垫，是一种专用于加工集成电路的自粘式圆形抛光垫，参照十六类类注二关于零件的归类原则，根据归类总规则一及六，应归入税则号列8486.9099。</x:v>
      </x:c>
      <x:c r="M87" s="87" t="str">
        <x:v>归类总规则一及六</x:v>
      </x:c>
      <x:c r="N87" s="87" t="str">
        <x:v>海关总署公告2024年第116号</x:v>
      </x:c>
      <x:c r="O87" s="87" t="str">
        <x:v>2024-09-12</x:v>
      </x:c>
      <x:c r="P87" s="87" t="str">
        <x:v>2024-09-12</x:v>
      </x:c>
      <x:c r="Q87" s="87" t="str">
        <x:v>未在所附2025失效清单中</x:v>
      </x:c>
      <x:c r="R87" s="87"/>
      <x:c r="S87" s="87" t="str">
        <x:v>A</x:v>
      </x:c>
      <x:c r="T87" s="87" t="str">
        <x:v>用户提供的官方公告附件</x:v>
      </x:c>
      <x:c r="U87" s="87" t="str">
        <x:v>有关商品归类决定.doc</x:v>
      </x:c>
      <x:c r="V87" s="87"/>
      <x:c r="W87" s="87" t="str">
        <x:v>https://www.mofcom.gov.cn/zcfb/zgdwjjmywg/art/2024/art_10eea87de2834b67a5aebb...</x:v>
      </x:c>
      <x:c r="X87" s="87" t="str">
        <x:v>官方附件原文</x:v>
      </x:c>
      <x:c r="Y87" s="89" t="str"/>
      <x:c r="Z87" s="90" t="str">
        <x:v>前缀核对通过：2个候选，需人工映射</x:v>
      </x:c>
      <x:c r="AA87" s="87" t="str">
        <x:v>可入库</x:v>
      </x:c>
    </x:row>
    <x:row r="88" ht="46" customHeight="1">
      <x:c r="A88" s="87" t="n">
        <x:v>2024</x:v>
      </x:c>
      <x:c r="B88" s="87" t="str">
        <x:v>Z2024-0018</x:v>
      </x:c>
      <x:c r="C88" s="87" t="str">
        <x:v>中国归类决定(Z)</x:v>
      </x:c>
      <x:c r="D88" s="88" t="str">
        <x:v>8486.9099</x:v>
      </x:c>
      <x:c r="E88" s="88" t="str">
        <x:v>8486</x:v>
      </x:c>
      <x:c r="F88" s="88" t="str">
        <x:v>848690</x:v>
      </x:c>
      <x:c r="G88" s="88" t="str">
        <x:v>8位</x:v>
      </x:c>
      <x:c r="H88" s="87" t="str">
        <x:v>半导体晶圆制造用自粘式矩形抛光垫</x:v>
      </x:c>
      <x:c r="I88" s="87"/>
      <x:c r="J88" s="87" t="str">
        <x:v>无</x:v>
      </x:c>
      <x:c r="K88" s="87" t="str">
        <x:v>该商品专用于晶圆制造工艺用的化学机械抛光（CMP）机，加工面材质为多孔聚氨酯泡沫，反面带有自粘材料，可以装配在抛光机的抛光柱前端或环形抛光面的内表面。配合抛光液对半导体晶圆的边缘和侧面进行抛光，抛光对象为半导体晶圆。</x:v>
      </x:c>
      <x:c r="L88" s="87" t="str">
        <x:v>该商品为抛光垫，是一种专用于加工半导体晶圆的自粘式矩形抛光垫，参照十六类类注二关于零件的归类原则，根据归类总规则一及六，应归入税则号列8486.9099。</x:v>
      </x:c>
      <x:c r="M88" s="87" t="str">
        <x:v>归类总规则一及六</x:v>
      </x:c>
      <x:c r="N88" s="87" t="str">
        <x:v>海关总署公告2024年第116号</x:v>
      </x:c>
      <x:c r="O88" s="87" t="str">
        <x:v>2024-09-12</x:v>
      </x:c>
      <x:c r="P88" s="87" t="str">
        <x:v>2024-09-12</x:v>
      </x:c>
      <x:c r="Q88" s="87" t="str">
        <x:v>未在所附2025失效清单中</x:v>
      </x:c>
      <x:c r="R88" s="87"/>
      <x:c r="S88" s="87" t="str">
        <x:v>A</x:v>
      </x:c>
      <x:c r="T88" s="87" t="str">
        <x:v>用户提供的官方公告附件</x:v>
      </x:c>
      <x:c r="U88" s="87" t="str">
        <x:v>有关商品归类决定.doc</x:v>
      </x:c>
      <x:c r="V88" s="87"/>
      <x:c r="W88" s="87" t="str">
        <x:v>https://www.mofcom.gov.cn/zcfb/zgdwjjmywg/art/2024/art_10eea87de2834b67a5aebb...</x:v>
      </x:c>
      <x:c r="X88" s="87" t="str">
        <x:v>官方附件原文</x:v>
      </x:c>
      <x:c r="Y88" s="89" t="str"/>
      <x:c r="Z88" s="90" t="str">
        <x:v>前缀核对通过：2个候选，需人工映射</x:v>
      </x:c>
      <x:c r="AA88" s="87" t="str">
        <x:v>可入库</x:v>
      </x:c>
    </x:row>
    <x:row r="89" ht="46" customHeight="1">
      <x:c r="A89" s="87" t="n">
        <x:v>2025</x:v>
      </x:c>
      <x:c r="B89" s="87" t="str">
        <x:v>J2025-0001</x:v>
      </x:c>
      <x:c r="C89" s="87" t="str">
        <x:v>J类归类决定</x:v>
      </x:c>
      <x:c r="D89" s="88" t="str">
        <x:v>0303.9900</x:v>
      </x:c>
      <x:c r="E89" s="88" t="str">
        <x:v>0303</x:v>
      </x:c>
      <x:c r="F89" s="88" t="str">
        <x:v>030399</x:v>
      </x:c>
      <x:c r="G89" s="88" t="str">
        <x:v>8位</x:v>
      </x:c>
      <x:c r="H89" s="87" t="str">
        <x:v>冷冻罗非鱼鱼皮</x:v>
      </x:c>
      <x:c r="I89" s="87"/>
      <x:c r="J89" s="87" t="str">
        <x:v>散装，每条长度10-40厘米</x:v>
      </x:c>
      <x:c r="K89" s="87" t="str">
        <x:v>为罗非鱼（口孵非鲫属，拉丁文名：Oreochromis spp.）的完整鱼皮，状态新鲜，带有鱼皮本身的气味，附着少量鱼鳞。加工工艺：杀鱼，取鱼片，分解鱼皮和鱼鳞，手工去除残留鱼肉，保留完整鱼皮，清水清洗3次，零下18℃冷冻。该鱼皮可供食用，进口后也可用于制作鱼胶、装饰性皮革。</x:v>
      </x:c>
      <x:c r="L89" s="87" t="str">
        <x:v>《税则注释》品目03.02规定：“与鱼身其它部分分离的鲜或冷的可食用鱼杂碎〔例如，鱼皮、鱼尾、鱼鳔、整个或半个鱼头（带或不带鱼脑、鱼颊、鱼舌、鱼眼、鱼颌或鱼唇）、鱼胃、鱼鳍、鱼舌〕，以及鱼肝、鱼卵及鱼精也归入本品目”；《税则注释》品目03.03规定：“品目03.02的注释条文在必要的地方稍加修改后，适用于本品目的产品”。 “冷冻罗非鱼鱼皮”可供食用，属于可食用鱼杂碎。根据归类总规则一及六，该商品应归入税则号列0303.9900。</x:v>
      </x:c>
      <x:c r="M89" s="87" t="str">
        <x:v>归类总规则一及六；《税则注释》品目03.02规定：“与鱼身其它部分分离的鲜或冷的可食用鱼杂碎〔例如；《税则注释》品目03.03规定：“品目03.02的注释条文在必要的地方稍加修改后</x:v>
      </x:c>
      <x:c r="N89" s="87" t="str">
        <x:v>海关总署公告2025年第259号</x:v>
      </x:c>
      <x:c r="O89" s="87"/>
      <x:c r="P89" s="87"/>
      <x:c r="Q89" s="87" t="str">
        <x:v>未在所附2025失效清单中</x:v>
      </x:c>
      <x:c r="R89" s="87"/>
      <x:c r="S89" s="87" t="str">
        <x:v>A</x:v>
      </x:c>
      <x:c r="T89" s="87" t="str">
        <x:v>用户提供的官方公告附件</x:v>
      </x:c>
      <x:c r="U89" s="87" t="str">
        <x:v>2025年商品归类决定 (1).docx</x:v>
      </x:c>
      <x:c r="V89" s="87"/>
      <x:c r="W89" s="87"/>
      <x:c r="X89" s="87" t="str">
        <x:v>官方附件原文</x:v>
      </x:c>
      <x:c r="Y89" s="89" t="str"/>
      <x:c r="Z89" s="90" t="str">
        <x:v>前缀核对通过：3个候选，需人工映射</x:v>
      </x:c>
      <x:c r="AA89" s="87" t="str">
        <x:v>可入库</x:v>
      </x:c>
    </x:row>
    <x:row r="90" ht="46" customHeight="1">
      <x:c r="A90" s="87" t="n">
        <x:v>2025</x:v>
      </x:c>
      <x:c r="B90" s="87" t="str">
        <x:v>J2025-0002</x:v>
      </x:c>
      <x:c r="C90" s="87" t="str">
        <x:v>J类归类决定</x:v>
      </x:c>
      <x:c r="D90" s="88" t="str">
        <x:v>3822.1900</x:v>
      </x:c>
      <x:c r="E90" s="88" t="str">
        <x:v>3822</x:v>
      </x:c>
      <x:c r="F90" s="88" t="str">
        <x:v>382219</x:v>
      </x:c>
      <x:c r="G90" s="88" t="str">
        <x:v>8位</x:v>
      </x:c>
      <x:c r="H90" s="87" t="str">
        <x:v>血糖试纸</x:v>
      </x:c>
      <x:c r="I90" s="87"/>
      <x:c r="J90" s="87"/>
      <x:c r="K90" s="87" t="str">
        <x:v>该商品用于体外检测血样中葡萄糖的含量，为一次性耗材。由上表层、电极层、聚合物基板组成，上表层有反应区，反应区中涂布葡萄糖脱氢酶。 工作原理：将血糖试纸插入血糖测试仪，采血针采血后，血样通过虹吸作用进入血糖试纸反应区，与葡萄糖脱氢酶反应，产生微电流，通过电极层中的电极传输到血糖仪，血糖仪根据电流的强弱计算出血样中葡萄糖的含量。</x:v>
      </x:c>
      <x:c r="L90" s="87" t="str">
        <x:v>该商品上表层反应区涂布了葡萄糖脱氢酶，用于体外检测血样中葡萄糖的含量，符合品目38.22条文“附于衬背上的诊断或实验用试剂”，通常作为检测对象与血糖测试仪配套使用，不属于品目90.27所列理化分析仪器及装置的零件、附件。 根据归类总规则一及六，该商品应归入税则号列3822.1900。</x:v>
      </x:c>
      <x:c r="M90" s="87" t="str">
        <x:v>归类总规则一及六</x:v>
      </x:c>
      <x:c r="N90" s="87" t="str">
        <x:v>海关总署公告2025年第259号</x:v>
      </x:c>
      <x:c r="O90" s="87"/>
      <x:c r="P90" s="87"/>
      <x:c r="Q90" s="87" t="str">
        <x:v>未在所附2025失效清单中</x:v>
      </x:c>
      <x:c r="R90" s="87"/>
      <x:c r="S90" s="87" t="str">
        <x:v>A</x:v>
      </x:c>
      <x:c r="T90" s="87" t="str">
        <x:v>用户提供的官方公告附件</x:v>
      </x:c>
      <x:c r="U90" s="87" t="str">
        <x:v>2025年商品归类决定 (1).docx</x:v>
      </x:c>
      <x:c r="V90" s="87"/>
      <x:c r="W90" s="87"/>
      <x:c r="X90" s="87" t="str">
        <x:v>官方附件原文</x:v>
      </x:c>
      <x:c r="Y90" s="89" t="str"/>
      <x:c r="Z90" s="90" t="str">
        <x:v>前缀核对通过：5个候选，需人工映射</x:v>
      </x:c>
      <x:c r="AA90" s="87" t="str">
        <x:v>可入库</x:v>
      </x:c>
    </x:row>
    <x:row r="91" ht="46" customHeight="1">
      <x:c r="A91" s="87" t="n">
        <x:v>2025</x:v>
      </x:c>
      <x:c r="B91" s="87" t="str">
        <x:v>J2025-0003</x:v>
      </x:c>
      <x:c r="C91" s="87" t="str">
        <x:v>J类归类决定</x:v>
      </x:c>
      <x:c r="D91" s="88" t="str">
        <x:v>7020.0099</x:v>
      </x:c>
      <x:c r="E91" s="88" t="str">
        <x:v>7020</x:v>
      </x:c>
      <x:c r="F91" s="88" t="str">
        <x:v>702000</x:v>
      </x:c>
      <x:c r="G91" s="88" t="str">
        <x:v>8位</x:v>
      </x:c>
      <x:c r="H91" s="87" t="str">
        <x:v>玻璃淋浴房</x:v>
      </x:c>
      <x:c r="I91" s="87"/>
      <x:c r="J91" s="87"/>
      <x:c r="K91" s="87" t="str">
        <x:v>该商品为带单边玻璃边框的玻璃推拉门，由1块固定安装的钢化玻璃（宽约299mm）、1块推拉的钢化玻璃（宽约600mm）、铝材边框、上横杆、铰链、门把手等组成，不带底盘、顶盖和淋浴装置。 该商品在室内贴地安装，玻璃边框通过单边铝材边框固定在墙上，推拉门通过活页安装在玻璃边框上。既可用一组产品安装于U型墙体（三面墙体）、也可以加多一组产品安装于L型墙体（两面墙体），均构成四面封闭的淋浴空间。</x:v>
      </x:c>
      <x:c r="L91" s="87" t="str">
        <x:v>该商品为带有金属附件的钢化玻璃门，已具备明显的玻璃制品特征，可直接安装使用，根据归类总规则三（二）及六，应归入税则号列7020.0099。</x:v>
      </x:c>
      <x:c r="M91" s="87" t="str">
        <x:v>归类总规则三（二）及六</x:v>
      </x:c>
      <x:c r="N91" s="87" t="str">
        <x:v>海关总署公告2025年第259号</x:v>
      </x:c>
      <x:c r="O91" s="87"/>
      <x:c r="P91" s="87"/>
      <x:c r="Q91" s="87" t="str">
        <x:v>未在所附2025失效清单中</x:v>
      </x:c>
      <x:c r="R91" s="87"/>
      <x:c r="S91" s="87" t="str">
        <x:v>A</x:v>
      </x:c>
      <x:c r="T91" s="87" t="str">
        <x:v>用户提供的官方公告附件</x:v>
      </x:c>
      <x:c r="U91" s="87" t="str">
        <x:v>2025年商品归类决定 (1).docx</x:v>
      </x:c>
      <x:c r="V91" s="87"/>
      <x:c r="W91" s="87"/>
      <x:c r="X91" s="87" t="str">
        <x:v>官方附件原文</x:v>
      </x:c>
      <x:c r="Y91" s="89" t="str"/>
      <x:c r="Z91" s="90" t="str">
        <x:v>前缀核对通过：2个候选，需人工映射</x:v>
      </x:c>
      <x:c r="AA91" s="87" t="str">
        <x:v>可入库</x:v>
      </x:c>
    </x:row>
    <x:row r="92" ht="46" customHeight="1">
      <x:c r="A92" s="87" t="n">
        <x:v>2025</x:v>
      </x:c>
      <x:c r="B92" s="87" t="str">
        <x:v>J2025-0004</x:v>
      </x:c>
      <x:c r="C92" s="87" t="str">
        <x:v>J类归类决定</x:v>
      </x:c>
      <x:c r="D92" s="88" t="str">
        <x:v>7308.3000</x:v>
      </x:c>
      <x:c r="E92" s="88" t="str">
        <x:v>7308</x:v>
      </x:c>
      <x:c r="F92" s="88" t="str">
        <x:v>730830</x:v>
      </x:c>
      <x:c r="G92" s="88" t="str">
        <x:v>8位</x:v>
      </x:c>
      <x:c r="H92" s="87" t="str">
        <x:v>玻璃淋浴房</x:v>
      </x:c>
      <x:c r="I92" s="87"/>
      <x:c r="J92" s="87"/>
      <x:c r="K92" s="87" t="str">
        <x:v>该商品由2块固定安装的平面钢化玻璃、2块可左右滑动的弧形钢化玻璃、不锈钢制边框和弧形轨道套、滑轮、铰链、门把手等组成，不带底盘、顶盖和淋浴装置。 商品组装后，形成一个连接在L型墙体（两面墙体）的配有滑动门的弧形全框架玻璃淋浴空间。</x:v>
      </x:c>
      <x:c r="L92" s="87" t="str">
        <x:v>该商品主要由钢化玻璃和不锈钢制框架组成，金属框架构成了商品的基本特征，符合《税则注释》品目73.08项下钢铁制门窗结构件的描述，根据归类总规则三（二）及六，应归入税则号列7308.3000。</x:v>
      </x:c>
      <x:c r="M92" s="87" t="str">
        <x:v>归类总规则三（二）及六；《税则注释》品目73.08项下钢铁制门窗结构件的描述</x:v>
      </x:c>
      <x:c r="N92" s="87" t="str">
        <x:v>海关总署公告2025年第259号</x:v>
      </x:c>
      <x:c r="O92" s="87"/>
      <x:c r="P92" s="87"/>
      <x:c r="Q92" s="87" t="str">
        <x:v>未在所附2025失效清单中</x:v>
      </x:c>
      <x:c r="R92" s="87"/>
      <x:c r="S92" s="87" t="str">
        <x:v>A</x:v>
      </x:c>
      <x:c r="T92" s="87" t="str">
        <x:v>用户提供的官方公告附件</x:v>
      </x:c>
      <x:c r="U92" s="87" t="str">
        <x:v>2025年商品归类决定 (1).docx</x:v>
      </x:c>
      <x:c r="V92" s="87"/>
      <x:c r="W92" s="87"/>
      <x:c r="X92" s="87" t="str">
        <x:v>官方附件原文</x:v>
      </x:c>
      <x:c r="Y92" s="89" t="str">
        <x:v>7308300000</x:v>
      </x:c>
      <x:c r="Z92" s="90" t="str">
        <x:v>前缀核对通过：唯一候选，待业务确认</x:v>
      </x:c>
      <x:c r="AA92" s="87" t="str">
        <x:v>可入库</x:v>
      </x:c>
    </x:row>
    <x:row r="93" ht="46" customHeight="1">
      <x:c r="A93" s="87" t="n">
        <x:v>2025</x:v>
      </x:c>
      <x:c r="B93" s="87" t="str">
        <x:v>J2025-0005</x:v>
      </x:c>
      <x:c r="C93" s="87" t="str">
        <x:v>J类归类决定</x:v>
      </x:c>
      <x:c r="D93" s="88" t="str">
        <x:v>8703.2413</x:v>
      </x:c>
      <x:c r="E93" s="88" t="str">
        <x:v>8703</x:v>
      </x:c>
      <x:c r="F93" s="88" t="str">
        <x:v>870324</x:v>
      </x:c>
      <x:c r="G93" s="88" t="str">
        <x:v>8位</x:v>
      </x:c>
      <x:c r="H93" s="87" t="str">
        <x:v>厢式汽车</x:v>
      </x:c>
      <x:c r="I93" s="87"/>
      <x:c r="J93" s="87" t="str">
        <x:v>丰田3456CC</x:v>
      </x:c>
      <x:c r="K93" s="87" t="str">
        <x:v>车辆型号：HIACE A3.5L，发动机类型：汽油型发动机；排量3456CC；驱动型式：后轮驱动；额定载客人数：2人。车辆侧边为滑动门，没有窗户，但有车窗预留位。车厢后部有一个带车窗的提升式车门。后部车厢空间较大，车厢地板有打孔痕迹，预留安装座位的孔位，且在驾驶员和前排乘客所在区间与后部区间之间无固定隔板或屏障。</x:v>
      </x:c>
      <x:c r="L93" s="87" t="str">
        <x:v>该商品作为一种厢式两用车（VAN），报验状态下安装汽油发动机，排量3456毫升；驾驶员和前排乘客所在区间与后部区间之间无符合行业标准强度的固定隔板或屏障，车辆侧边为滑动门，预留车窗位置，车厢后部有一个带车窗的提升式车门。综合考虑该商品为载人车辆的半制成品，根据归类总规则二（一）及六，应归入税则号列8703.2413。</x:v>
      </x:c>
      <x:c r="M93" s="87" t="str">
        <x:v>归类总规则二（一）及六</x:v>
      </x:c>
      <x:c r="N93" s="87" t="str">
        <x:v>海关总署公告2025年第259号</x:v>
      </x:c>
      <x:c r="O93" s="87"/>
      <x:c r="P93" s="87"/>
      <x:c r="Q93" s="87" t="str">
        <x:v>未在所附2025失效清单中</x:v>
      </x:c>
      <x:c r="R93" s="87"/>
      <x:c r="S93" s="87" t="str">
        <x:v>A</x:v>
      </x:c>
      <x:c r="T93" s="87" t="str">
        <x:v>用户提供的官方公告附件</x:v>
      </x:c>
      <x:c r="U93" s="87" t="str">
        <x:v>2025年商品归类决定 (1).docx</x:v>
      </x:c>
      <x:c r="V93" s="87"/>
      <x:c r="W93" s="87"/>
      <x:c r="X93" s="87" t="str">
        <x:v>官方附件原文</x:v>
      </x:c>
      <x:c r="Y93" s="89" t="str"/>
      <x:c r="Z93" s="90" t="str">
        <x:v>前缀核对通过：2个候选，需人工映射</x:v>
      </x:c>
      <x:c r="AA93" s="87" t="str">
        <x:v>可入库</x:v>
      </x:c>
    </x:row>
    <x:row r="94" ht="46" customHeight="1">
      <x:c r="A94" s="87" t="n">
        <x:v>2025</x:v>
      </x:c>
      <x:c r="B94" s="87" t="str">
        <x:v>J2025-0006</x:v>
      </x:c>
      <x:c r="C94" s="87" t="str">
        <x:v>J类归类决定</x:v>
      </x:c>
      <x:c r="D94" s="88" t="str">
        <x:v>8703.3213</x:v>
      </x:c>
      <x:c r="E94" s="88" t="str">
        <x:v>8703</x:v>
      </x:c>
      <x:c r="F94" s="88" t="str">
        <x:v>870332</x:v>
      </x:c>
      <x:c r="G94" s="88" t="str">
        <x:v>8位</x:v>
      </x:c>
      <x:c r="H94" s="87" t="str">
        <x:v>厢式汽车</x:v>
      </x:c>
      <x:c r="I94" s="87"/>
      <x:c r="J94" s="87" t="str">
        <x:v>奔驰斯宾特1950CC</x:v>
      </x:c>
      <x:c r="K94" s="87" t="str">
        <x:v>车辆型号：Sprinter D2.0S，发动机类型：柴油型发动机；排量1950CC；驱动型式：后轮驱动；驾驶室准乘人数：2人。车辆侧边为滑动门，没有窗户，但有车窗预留位，车厢后部有一个带车窗的对开式车门。在驾驶员和前排乘客所在区间与后部区间之间无固定隔板或屏障。</x:v>
      </x:c>
      <x:c r="L94" s="87" t="str">
        <x:v>该商品作为一种厢式两用车（VAN），报验状态下安装柴油发动机，排量1950毫升；驾驶员和前排乘客所在区间与后部区间之间无符合行业标准强度的固定隔板或屏障，车辆侧边为滑动门，预留车窗位置，车厢后部有一个带车窗的对开式车门。综合考虑该商品为载人车辆的半制成品，根据归类总规则二（一）及六，应归入税则号列8703.3213。</x:v>
      </x:c>
      <x:c r="M94" s="87" t="str">
        <x:v>归类总规则二（一）及六</x:v>
      </x:c>
      <x:c r="N94" s="87" t="str">
        <x:v>海关总署公告2025年第259号</x:v>
      </x:c>
      <x:c r="O94" s="87"/>
      <x:c r="P94" s="87"/>
      <x:c r="Q94" s="87" t="str">
        <x:v>未在所附2025失效清单中</x:v>
      </x:c>
      <x:c r="R94" s="87"/>
      <x:c r="S94" s="87" t="str">
        <x:v>A</x:v>
      </x:c>
      <x:c r="T94" s="87" t="str">
        <x:v>用户提供的官方公告附件</x:v>
      </x:c>
      <x:c r="U94" s="87" t="str">
        <x:v>2025年商品归类决定 (1).docx</x:v>
      </x:c>
      <x:c r="V94" s="87"/>
      <x:c r="W94" s="87"/>
      <x:c r="X94" s="87" t="str">
        <x:v>官方附件原文</x:v>
      </x:c>
      <x:c r="Y94" s="89" t="str"/>
      <x:c r="Z94" s="90" t="str">
        <x:v>前缀核对通过：2个候选，需人工映射</x:v>
      </x:c>
      <x:c r="AA94" s="87" t="str">
        <x:v>可入库</x:v>
      </x:c>
    </x:row>
    <x:row r="95" ht="46" customHeight="1">
      <x:c r="A95" s="87" t="n">
        <x:v>2025</x:v>
      </x:c>
      <x:c r="B95" s="87" t="str">
        <x:v>J2025-0007</x:v>
      </x:c>
      <x:c r="C95" s="87" t="str">
        <x:v>J类归类决定</x:v>
      </x:c>
      <x:c r="D95" s="88" t="str">
        <x:v>8807.3000</x:v>
      </x:c>
      <x:c r="E95" s="88" t="str">
        <x:v>8807</x:v>
      </x:c>
      <x:c r="F95" s="88" t="str">
        <x:v>880730</x:v>
      </x:c>
      <x:c r="G95" s="88" t="str">
        <x:v>8位</x:v>
      </x:c>
      <x:c r="H95" s="87" t="str">
        <x:v>展示用飞机（拆解退役飞机）</x:v>
      </x:c>
      <x:c r="I95" s="87"/>
      <x:c r="J95" s="87" t="str">
        <x:v>波音飞机外壳</x:v>
      </x:c>
      <x:c r="K95" s="87" t="str">
        <x:v>“拆解退役飞机”是一架经拆解部分飞机部件后的完整飞机壳，去除了仪表、航电、座椅、行李架、内饰（侧壁板、空调系统、氧气应急系统、灯光系统、厕所、厨房），含一台发动机（不齐全状态）和辅助动力装置（APU），起落架和刹车盘，不具备飞行条件。该商品可用作教学模具、展示模型，也可改建为飞机主题场所，或拆解机身金属材料循环使用。</x:v>
      </x:c>
      <x:c r="L95" s="87" t="str">
        <x:v>“拆解退役飞机”具有多种用途，不符合《税则注释》品目90.23规定：“本品目包括各种专供示范（例如，学校、教室及展览会中所用）而无其他用途的仪器、装置及模型。”根据归类总规则一及六，该商品应归入税则号列8807.3000。</x:v>
      </x:c>
      <x:c r="M95" s="87" t="str">
        <x:v>归类总规则一及六；《税则注释》品目90.23规定：“本品目包括各种专供示范（例如</x:v>
      </x:c>
      <x:c r="N95" s="87" t="str">
        <x:v>海关总署公告2025年第259号</x:v>
      </x:c>
      <x:c r="O95" s="87"/>
      <x:c r="P95" s="87"/>
      <x:c r="Q95" s="87" t="str">
        <x:v>未在所附2025失效清单中</x:v>
      </x:c>
      <x:c r="R95" s="87"/>
      <x:c r="S95" s="87" t="str">
        <x:v>A</x:v>
      </x:c>
      <x:c r="T95" s="87" t="str">
        <x:v>用户提供的官方公告附件</x:v>
      </x:c>
      <x:c r="U95" s="87" t="str">
        <x:v>2025年商品归类决定 (1).docx</x:v>
      </x:c>
      <x:c r="V95" s="87"/>
      <x:c r="W95" s="87"/>
      <x:c r="X95" s="87" t="str">
        <x:v>官方附件原文</x:v>
      </x:c>
      <x:c r="Y95" s="89" t="str">
        <x:v>8807300000</x:v>
      </x:c>
      <x:c r="Z95" s="90" t="str">
        <x:v>前缀核对通过：唯一候选，待业务确认</x:v>
      </x:c>
      <x:c r="AA95" s="87" t="str">
        <x:v>可入库</x:v>
      </x:c>
    </x:row>
    <x:row r="96" ht="46" customHeight="1">
      <x:c r="A96" s="87" t="n">
        <x:v>2025</x:v>
      </x:c>
      <x:c r="B96" s="87" t="str">
        <x:v>J2025-0008</x:v>
      </x:c>
      <x:c r="C96" s="87" t="str">
        <x:v>J类归类决定</x:v>
      </x:c>
      <x:c r="D96" s="88" t="str">
        <x:v>9018.9099</x:v>
      </x:c>
      <x:c r="E96" s="88" t="str">
        <x:v>9018</x:v>
      </x:c>
      <x:c r="F96" s="88" t="str">
        <x:v>901890</x:v>
      </x:c>
      <x:c r="G96" s="88" t="str">
        <x:v>8位</x:v>
      </x:c>
      <x:c r="H96" s="87" t="str">
        <x:v>内窥镜用吻合器械（腔镜下切割吻合器）</x:v>
      </x:c>
      <x:c r="I96" s="87"/>
      <x:c r="J96" s="87" t="str">
        <x:v>柯惠（Coviden）牌</x:v>
      </x:c>
      <x:c r="K96" s="87" t="str">
        <x:v>柯惠（Coviden）牌腔镜下切割吻合器（Endo GIA Ultra Universal Stapler），采用电气控制模式工作，用于外科手术中对体内血管和组织的结扎和吻合。该商品主要由插销、杆、关节头旋钮、旋转轴环、绿色击发按钮、黑色回复钮、淡蓝色卸载按钮、环状手柄构成。在腔镜手术中，该吻合器必须和内窥镜配合使用；在开放式手术中，医生在目视条件下可以直接使用吻合器缝合伤口。</x:v>
      </x:c>
      <x:c r="L96" s="87" t="str">
        <x:v>该商品是一种电气外科手术器械，虽然其主要设计目的是配合内窥镜进入人体，在腔镜手术环境下对人体内创口进行吻合，但单独报验时作为一种手术缝合装置，符合《税则注释》品目90.18项下“包埋缝钉用以缝合伤口的外科用缝合器”的描述。根据归类总规则一及六，该商品应归入税则号列9018.9099。</x:v>
      </x:c>
      <x:c r="M96" s="87" t="str">
        <x:v>归类总规则一及六；《税则注释》品目90.18项下“包埋缝钉用以缝合伤口的外科用缝合器”的描述</x:v>
      </x:c>
      <x:c r="N96" s="87" t="str">
        <x:v>海关总署公告2025年第259号</x:v>
      </x:c>
      <x:c r="O96" s="87"/>
      <x:c r="P96" s="87"/>
      <x:c r="Q96" s="87" t="str">
        <x:v>未在所附2025失效清单中</x:v>
      </x:c>
      <x:c r="R96" s="87"/>
      <x:c r="S96" s="87" t="str">
        <x:v>A</x:v>
      </x:c>
      <x:c r="T96" s="87" t="str">
        <x:v>用户提供的官方公告附件</x:v>
      </x:c>
      <x:c r="U96" s="87" t="str">
        <x:v>2025年商品归类决定 (1).docx</x:v>
      </x:c>
      <x:c r="V96" s="87"/>
      <x:c r="W96" s="87"/>
      <x:c r="X96" s="87" t="str">
        <x:v>官方附件原文</x:v>
      </x:c>
      <x:c r="Y96" s="89" t="str"/>
      <x:c r="Z96" s="90" t="str">
        <x:v>前缀核对通过：7个候选，需人工映射</x:v>
      </x:c>
      <x:c r="AA96" s="87" t="str">
        <x:v>可入库</x:v>
      </x:c>
    </x:row>
    <x:row r="97" ht="46" customHeight="1">
      <x:c r="A97" s="87" t="n">
        <x:v>2025</x:v>
      </x:c>
      <x:c r="B97" s="87" t="str">
        <x:v>Z2025-0001</x:v>
      </x:c>
      <x:c r="C97" s="87" t="str">
        <x:v>中国归类决定(Z)</x:v>
      </x:c>
      <x:c r="D97" s="88" t="str">
        <x:v>0406.1000</x:v>
      </x:c>
      <x:c r="E97" s="88" t="str">
        <x:v>0406</x:v>
      </x:c>
      <x:c r="F97" s="88" t="str">
        <x:v>040610</x:v>
      </x:c>
      <x:c r="G97" s="88" t="str">
        <x:v>8位</x:v>
      </x:c>
      <x:c r="H97" s="87" t="str">
        <x:v>块状马苏里拉奶酪</x:v>
      </x:c>
      <x:c r="I97" s="87"/>
      <x:c r="J97" s="87" t="str">
        <x:v>零售包装</x:v>
      </x:c>
      <x:c r="K97" s="87" t="str">
        <x:v>块状马苏里拉奶酪，含水量48%，脂肪含量21.3克/100克，由巴氏杀菌牛乳98.757%，食用盐1.0%，唾液链球菌嗜热亚种0.2%，氯化钙0.04%，凝乳酶0.003%作为产品原料制作而成。工艺流程：1.新鲜牛乳经巴氏杀菌；2.添加唾液链球菌嗜热亚种进行发酵，调整酸度；3.加入凝乳酶凝乳，凝块切割；4.加入水拉伸成絮状物；5.加盐搅拌，成形，冷却至10度，真空包装；6.在0至4度环境下存放10天后出货。保存方式：低于零下18度冷冻保存。</x:v>
      </x:c>
      <x:c r="L97" s="87" t="str">
        <x:v>该商品符合《税则注释》品目04.06所列举的“鲜乳酪”在加工后短期内食用的特征。根据归类总规则一及六，该商品应归入税则号列0406.1000。</x:v>
      </x:c>
      <x:c r="M97" s="87" t="str">
        <x:v>归类总规则一及六；《税则注释》品目04.06所列举的“鲜乳酪”在加工后短期内食用的特征</x:v>
      </x:c>
      <x:c r="N97" s="87" t="str">
        <x:v>海关总署公告2025年第259号</x:v>
      </x:c>
      <x:c r="O97" s="87"/>
      <x:c r="P97" s="87"/>
      <x:c r="Q97" s="87" t="str">
        <x:v>未在所附2025失效清单中</x:v>
      </x:c>
      <x:c r="R97" s="87"/>
      <x:c r="S97" s="87" t="str">
        <x:v>A</x:v>
      </x:c>
      <x:c r="T97" s="87" t="str">
        <x:v>用户提供的官方公告附件</x:v>
      </x:c>
      <x:c r="U97" s="87" t="str">
        <x:v>2025年商品归类决定 (1).docx</x:v>
      </x:c>
      <x:c r="V97" s="87"/>
      <x:c r="W97" s="87"/>
      <x:c r="X97" s="87" t="str">
        <x:v>官方附件原文</x:v>
      </x:c>
      <x:c r="Y97" s="89" t="str">
        <x:v>0406100000</x:v>
      </x:c>
      <x:c r="Z97" s="90" t="str">
        <x:v>前缀核对通过：唯一候选，待业务确认</x:v>
      </x:c>
      <x:c r="AA97" s="87" t="str">
        <x:v>可入库</x:v>
      </x:c>
    </x:row>
    <x:row r="98" ht="46" customHeight="1">
      <x:c r="A98" s="87" t="n">
        <x:v>2025</x:v>
      </x:c>
      <x:c r="B98" s="87" t="str">
        <x:v>Z2025-0002</x:v>
      </x:c>
      <x:c r="C98" s="87" t="str">
        <x:v>中国归类决定(Z)</x:v>
      </x:c>
      <x:c r="D98" s="88" t="str">
        <x:v>0507.1000</x:v>
      </x:c>
      <x:c r="E98" s="88" t="str">
        <x:v>0507</x:v>
      </x:c>
      <x:c r="F98" s="88" t="str">
        <x:v>050710</x:v>
      </x:c>
      <x:c r="G98" s="88" t="str">
        <x:v>8位</x:v>
      </x:c>
      <x:c r="H98" s="87" t="str">
        <x:v>独角鲸长牙</x:v>
      </x:c>
      <x:c r="I98" s="87"/>
      <x:c r="J98" s="87" t="str">
        <x:v>1.5-2.5米/根</x:v>
      </x:c>
      <x:c r="K98" s="87" t="str">
        <x:v>独角鲸长牙，以整牙形态进口，经过如下加工：1.在常温水中浸泡1天，并在90摄氏度热水中浸泡60分钟，去除肉和血组织；2.在双氧水中浸泡1天，然后用钢刷擦洗，用水冲洗；3.干燥后，在来苏水中浸泡1天，冲洗、清洗，涂上浓盐水，然后再次冲洗，在干燥通风处风干3-5天，直至完全脱水；4.涂抹凡士林，进一步隔绝水分和空气，达到防腐效果。</x:v>
      </x:c>
      <x:c r="L98" s="87" t="str">
        <x:v>独角鲸长牙是《税则》第五章注释三和《税则注释》品目05.07具体列名的“一角鲸”长牙，所经过的清洗、清除血肉、干燥、涂抹凡士林等加工工艺符合品目05.07所述“仅简单整理但未切割成形（即除锉磨、刮削、洗净、除去多余部分、整饰、劈开、非成形切割、粗刨、拉直及平整工序外，未进一步加工）”的要求。根据归类总规则一及六，该商品应归入税则号列0507.1000。</x:v>
      </x:c>
      <x:c r="M98" s="87" t="str">
        <x:v>归类总规则一及六；《税则》第五章注释三和《税则注释》品目05.07具体列名的“一角鲸”长牙</x:v>
      </x:c>
      <x:c r="N98" s="87" t="str">
        <x:v>海关总署公告2025年第259号</x:v>
      </x:c>
      <x:c r="O98" s="87"/>
      <x:c r="P98" s="87"/>
      <x:c r="Q98" s="87" t="str">
        <x:v>未在所附2025失效清单中</x:v>
      </x:c>
      <x:c r="R98" s="87"/>
      <x:c r="S98" s="87" t="str">
        <x:v>A</x:v>
      </x:c>
      <x:c r="T98" s="87" t="str">
        <x:v>用户提供的官方公告附件</x:v>
      </x:c>
      <x:c r="U98" s="87" t="str">
        <x:v>2025年商品归类决定 (1).docx</x:v>
      </x:c>
      <x:c r="V98" s="87"/>
      <x:c r="W98" s="87"/>
      <x:c r="X98" s="87" t="str">
        <x:v>官方附件原文</x:v>
      </x:c>
      <x:c r="Y98" s="89" t="str"/>
      <x:c r="Z98" s="90" t="str">
        <x:v>前缀核对通过：4个候选，需人工映射</x:v>
      </x:c>
      <x:c r="AA98" s="87" t="str">
        <x:v>可入库</x:v>
      </x:c>
    </x:row>
    <x:row r="99" ht="46" customHeight="1">
      <x:c r="A99" s="87" t="n">
        <x:v>2025</x:v>
      </x:c>
      <x:c r="B99" s="87" t="str">
        <x:v>Z2025-0003</x:v>
      </x:c>
      <x:c r="C99" s="87" t="str">
        <x:v>中国归类决定(Z)</x:v>
      </x:c>
      <x:c r="D99" s="88" t="str">
        <x:v>0910.9990</x:v>
      </x:c>
      <x:c r="E99" s="88" t="str">
        <x:v>0910</x:v>
      </x:c>
      <x:c r="F99" s="88" t="str">
        <x:v>091099</x:v>
      </x:c>
      <x:c r="G99" s="88" t="str">
        <x:v>8位</x:v>
      </x:c>
      <x:c r="H99" s="87" t="str">
        <x:v>柴桂叶</x:v>
      </x:c>
      <x:c r="I99" s="87"/>
      <x:c r="J99" s="87" t="str">
        <x:v>散装</x:v>
      </x:c>
      <x:c r="K99" s="87" t="str">
        <x:v>柴桂的叶，具有肉桂的辛香，是南亚地区的传统食用香料，也可用于提取精油。</x:v>
      </x:c>
      <x:c r="L99" s="87" t="str">
        <x:v>柴桂，樟科植物，拉丁名为“Cinnamomum tamala”，英文名为“Indian bay”（印度月桂）。根据归类总规则一及六，柴桂叶应归入税则号列0910.9990。</x:v>
      </x:c>
      <x:c r="M99" s="87" t="str">
        <x:v>归类总规则一及六</x:v>
      </x:c>
      <x:c r="N99" s="87" t="str">
        <x:v>海关总署公告2025年第259号</x:v>
      </x:c>
      <x:c r="O99" s="87"/>
      <x:c r="P99" s="87"/>
      <x:c r="Q99" s="87" t="str">
        <x:v>未在所附2025失效清单中</x:v>
      </x:c>
      <x:c r="R99" s="87"/>
      <x:c r="S99" s="87" t="str">
        <x:v>A</x:v>
      </x:c>
      <x:c r="T99" s="87" t="str">
        <x:v>用户提供的官方公告附件</x:v>
      </x:c>
      <x:c r="U99" s="87" t="str">
        <x:v>2025年商品归类决定 (1).docx</x:v>
      </x:c>
      <x:c r="V99" s="87"/>
      <x:c r="W99" s="87"/>
      <x:c r="X99" s="87" t="str">
        <x:v>官方附件原文</x:v>
      </x:c>
      <x:c r="Y99" s="89" t="str">
        <x:v>0910999000</x:v>
      </x:c>
      <x:c r="Z99" s="90" t="str">
        <x:v>前缀核对通过：唯一候选，待业务确认</x:v>
      </x:c>
      <x:c r="AA99" s="87" t="str">
        <x:v>可入库</x:v>
      </x:c>
    </x:row>
    <x:row r="100" ht="46" customHeight="1">
      <x:c r="A100" s="87" t="n">
        <x:v>2025</x:v>
      </x:c>
      <x:c r="B100" s="87" t="str">
        <x:v>Z2025-0004</x:v>
      </x:c>
      <x:c r="C100" s="87" t="str">
        <x:v>中国归类决定(Z)</x:v>
      </x:c>
      <x:c r="D100" s="88" t="str">
        <x:v>1103.1100</x:v>
      </x:c>
      <x:c r="E100" s="88" t="str">
        <x:v>1103</x:v>
      </x:c>
      <x:c r="F100" s="88" t="str">
        <x:v>110311</x:v>
      </x:c>
      <x:c r="G100" s="88" t="str">
        <x:v>8位</x:v>
      </x:c>
      <x:c r="H100" s="87" t="str">
        <x:v>饲用小麦粉</x:v>
      </x:c>
      <x:c r="I100" s="87"/>
      <x:c r="J100" s="87" t="str">
        <x:v>50KG/袋</x:v>
      </x:c>
      <x:c r="K100" s="87" t="str">
        <x:v>成分含量：小麦粉80%、大麦粉20%。经化验，灰分含量（以干制品重量计）2.5g/100g，淀粉含量（以干制品重量计）56.0g/100g，315微米过筛率36.5%，1.25毫米过筛率96.2%；灰分未检出矿物质成分。</x:v>
      </x:c>
      <x:c r="L100" s="87" t="str">
        <x:v>依据《税则》第十一章注释二（一）的规定，计算混合谷物的灰分含量限值为：80%×2.5%+20%×3%=2.6%；计算淀粉含量的限值为：80%×45%+20%×45%=45%。该商品经化验的灰分和淀粉含量满足第十一章的规定，商品应归入第十一章。另根据《税则》第十一章注释二（二）和三关于过筛率的规定，该商品符合粗粒及粗粉的过筛要求。 该商品小麦质量占比80%，小麦成分构成货品的基本特征，根据归类总规则一、三（二）及六，应归入税则号列1103.1100。</x:v>
      </x:c>
      <x:c r="M100" s="87" t="str">
        <x:v>归类总规则一、三（二）及六；《税则》第十一章注释二（一）的规定；《税则》第十一章注释二（二）和三关于过筛率的规定</x:v>
      </x:c>
      <x:c r="N100" s="87" t="str">
        <x:v>海关总署公告2025年第259号</x:v>
      </x:c>
      <x:c r="O100" s="87"/>
      <x:c r="P100" s="87"/>
      <x:c r="Q100" s="87" t="str">
        <x:v>未在所附2025失效清单中</x:v>
      </x:c>
      <x:c r="R100" s="87"/>
      <x:c r="S100" s="87" t="str">
        <x:v>A</x:v>
      </x:c>
      <x:c r="T100" s="87" t="str">
        <x:v>用户提供的官方公告附件</x:v>
      </x:c>
      <x:c r="U100" s="87" t="str">
        <x:v>2025年商品归类决定 (1).docx</x:v>
      </x:c>
      <x:c r="V100" s="87"/>
      <x:c r="W100" s="87"/>
      <x:c r="X100" s="87" t="str">
        <x:v>官方附件原文</x:v>
      </x:c>
      <x:c r="Y100" s="89" t="str"/>
      <x:c r="Z100" s="90" t="str">
        <x:v>前缀核对通过：2个候选，需人工映射</x:v>
      </x:c>
      <x:c r="AA100" s="87" t="str">
        <x:v>可入库</x:v>
      </x:c>
    </x:row>
    <x:row r="101" ht="46" customHeight="1">
      <x:c r="A101" s="87" t="n">
        <x:v>2025</x:v>
      </x:c>
      <x:c r="B101" s="87" t="str">
        <x:v>Z2025-0005</x:v>
      </x:c>
      <x:c r="C101" s="87" t="str">
        <x:v>中国归类决定(Z)</x:v>
      </x:c>
      <x:c r="D101" s="88" t="str">
        <x:v>1211.9050</x:v>
      </x:c>
      <x:c r="E101" s="88" t="str">
        <x:v>1211</x:v>
      </x:c>
      <x:c r="F101" s="88" t="str">
        <x:v>121190</x:v>
      </x:c>
      <x:c r="G101" s="88" t="str">
        <x:v>8位</x:v>
      </x:c>
      <x:c r="H101" s="87" t="str">
        <x:v>沉香木片</x:v>
      </x:c>
      <x:c r="I101" s="87"/>
      <x:c r="J101" s="87" t="str">
        <x:v>散装</x:v>
      </x:c>
      <x:c r="K101" s="87" t="str">
        <x:v>尺寸：长35cm，宽10cm，厚0.8cm，中间带有孔洞。加工工艺：经切割去除白木部分，并经打磨等工艺，保留木料外层油脂丰富的结香部分，形成片状形态。</x:v>
      </x:c>
      <x:c r="L101" s="87" t="str">
        <x:v>该商品制成削片形态，保留结香部分，主要为香料用途，符合《税则注释》中品目12.11的有关解释。根据归类总规则一及六，该商品应归入税则号列1211.9050。</x:v>
      </x:c>
      <x:c r="M101" s="87" t="str">
        <x:v>归类总规则一及六；《税则注释》中品目12.11的有关解释</x:v>
      </x:c>
      <x:c r="N101" s="87" t="str">
        <x:v>海关总署公告2025年第259号</x:v>
      </x:c>
      <x:c r="O101" s="87"/>
      <x:c r="P101" s="87"/>
      <x:c r="Q101" s="87" t="str">
        <x:v>未在所附2025失效清单中</x:v>
      </x:c>
      <x:c r="R101" s="87"/>
      <x:c r="S101" s="87" t="str">
        <x:v>A</x:v>
      </x:c>
      <x:c r="T101" s="87" t="str">
        <x:v>用户提供的官方公告附件</x:v>
      </x:c>
      <x:c r="U101" s="87" t="str">
        <x:v>2025年商品归类决定 (1).docx</x:v>
      </x:c>
      <x:c r="V101" s="87"/>
      <x:c r="W101" s="87"/>
      <x:c r="X101" s="87" t="str">
        <x:v>官方附件原文</x:v>
      </x:c>
      <x:c r="Y101" s="89" t="str"/>
      <x:c r="Z101" s="90" t="str">
        <x:v>前缀核对通过：3个候选，需人工映射</x:v>
      </x:c>
      <x:c r="AA101" s="87" t="str">
        <x:v>可入库</x:v>
      </x:c>
    </x:row>
    <x:row r="102" ht="46" customHeight="1">
      <x:c r="A102" s="87" t="n">
        <x:v>2025</x:v>
      </x:c>
      <x:c r="B102" s="87" t="str">
        <x:v>Z2025-0006</x:v>
      </x:c>
      <x:c r="C102" s="87" t="str">
        <x:v>中国归类决定(Z)</x:v>
      </x:c>
      <x:c r="D102" s="88" t="str">
        <x:v>8481.8029</x:v>
      </x:c>
      <x:c r="E102" s="88" t="str">
        <x:v>8481</x:v>
      </x:c>
      <x:c r="F102" s="88" t="str">
        <x:v>848180</x:v>
      </x:c>
      <x:c r="G102" s="88" t="str">
        <x:v>8位</x:v>
      </x:c>
      <x:c r="H102" s="87" t="str">
        <x:v>输液用三通</x:v>
      </x:c>
      <x:c r="I102" s="87"/>
      <x:c r="J102" s="87"/>
      <x:c r="K102" s="87" t="str">
        <x:v>由手柄、公鲁尔接头端帽、母鲁尔结构端帽、螺帽、外壳和标志塞组成，用于连接、控制静脉输液、测压等液体管路。在同时连接3个接口的情况下，通过中间手柄控制，使1个进口流入的液体在2个出口中切换。</x:v>
      </x:c>
      <x:c r="L102" s="87" t="str">
        <x:v>该商品为手动换向阀，用于在输液时对液体进行换向，不用于液压传动系统。且该商品本身不带有医用导管，不属于品目9018的医疗器具，根据第九十章章注一（七）的规定，第九十章不包括税目84.81的阀门及其他装置，因此该商品应优先归入税目84.81项下。 参考《税则》本国子目8481.8021注释关于“电磁换向阀”的定义，根据归类总规则一及六，该商品应归入税则号列8481.8029。</x:v>
      </x:c>
      <x:c r="M102" s="87" t="str">
        <x:v>归类总规则一及六；《税则》本国子目8481.8021注释关于“电磁换向阀”的定义</x:v>
      </x:c>
      <x:c r="N102" s="87" t="str">
        <x:v>海关总署公告2025年第259号</x:v>
      </x:c>
      <x:c r="O102" s="87"/>
      <x:c r="P102" s="87"/>
      <x:c r="Q102" s="87" t="str">
        <x:v>未在所附2025失效清单中</x:v>
      </x:c>
      <x:c r="R102" s="87"/>
      <x:c r="S102" s="87" t="str">
        <x:v>A</x:v>
      </x:c>
      <x:c r="T102" s="87" t="str">
        <x:v>用户提供的官方公告附件</x:v>
      </x:c>
      <x:c r="U102" s="87" t="str">
        <x:v>2025年商品归类决定 (1).docx</x:v>
      </x:c>
      <x:c r="V102" s="87"/>
      <x:c r="W102" s="87"/>
      <x:c r="X102" s="87" t="str">
        <x:v>官方附件原文</x:v>
      </x:c>
      <x:c r="Y102" s="89" t="str"/>
      <x:c r="Z102" s="90" t="str">
        <x:v>前缀核对通过：2个候选，需人工映射</x:v>
      </x:c>
      <x:c r="AA102" s="87" t="str">
        <x:v>可入库</x:v>
      </x:c>
    </x:row>
    <x:row r="103" ht="46" customHeight="1">
      <x:c r="A103" s="87" t="n">
        <x:v>2025</x:v>
      </x:c>
      <x:c r="B103" s="87" t="str">
        <x:v>Z2025-0007</x:v>
      </x:c>
      <x:c r="C103" s="87" t="str">
        <x:v>中国归类决定(Z)</x:v>
      </x:c>
      <x:c r="D103" s="88" t="str">
        <x:v>8703.1011</x:v>
      </x:c>
      <x:c r="E103" s="88" t="str">
        <x:v>8703</x:v>
      </x:c>
      <x:c r="F103" s="88" t="str">
        <x:v>870310</x:v>
      </x:c>
      <x:c r="G103" s="88" t="str">
        <x:v>8位</x:v>
      </x:c>
      <x:c r="H103" s="87" t="str">
        <x:v>迷你全地形车</x:v>
      </x:c>
      <x:c r="I103" s="87"/>
      <x:c r="J103" s="87" t="str">
        <x:v>100×57×52厘米</x:v>
      </x:c>
      <x:c r="K103" s="87" t="str">
        <x:v>商品为电池驱动的四轮车辆，外包装有ATV标识，能在沙滩、草地、雪地等多种地面行驶。配备双手柄转向把手，跨坐式座椅，不带乘员座，采用链传动方式传动，具有机械转向系统，采用非公路用低压轮胎，为8岁以上50公斤以下人群设计使用，最高行驶速度22公里每小时。</x:v>
      </x:c>
      <x:c r="L103" s="87" t="str">
        <x:v>根据GB 6675.2-2014 《玩具安全 第2部分：机械与物理性能》中关于电动童车的速度要求，电动童车的最大速度为8公里每小时。该车辆最高时速为22公里每小时，不符合国标的规定，因此不应按照玩具童车归入品目9503。 该车辆的用途、传动方式、座位设置、转向、轮胎配置等均符合《本国子目注释》关于8703.1011“全地形车”的相关要求，根据归类总规则一及六，应归入税则号列8703.1011。</x:v>
      </x:c>
      <x:c r="M103" s="87" t="str">
        <x:v>归类总规则一及六；《本国子目注释》关于8703.1011“全地形车”的相关要求</x:v>
      </x:c>
      <x:c r="N103" s="87" t="str">
        <x:v>海关总署公告2025年第259号</x:v>
      </x:c>
      <x:c r="O103" s="87"/>
      <x:c r="P103" s="87"/>
      <x:c r="Q103" s="87" t="str">
        <x:v>未在所附2025失效清单中</x:v>
      </x:c>
      <x:c r="R103" s="87"/>
      <x:c r="S103" s="87" t="str">
        <x:v>A</x:v>
      </x:c>
      <x:c r="T103" s="87" t="str">
        <x:v>用户提供的官方公告附件</x:v>
      </x:c>
      <x:c r="U103" s="87" t="str">
        <x:v>2025年商品归类决定 (1).docx</x:v>
      </x:c>
      <x:c r="V103" s="87"/>
      <x:c r="W103" s="87"/>
      <x:c r="X103" s="87" t="str">
        <x:v>官方附件原文</x:v>
      </x:c>
      <x:c r="Y103" s="89" t="str">
        <x:v>8703101100</x:v>
      </x:c>
      <x:c r="Z103" s="90" t="str">
        <x:v>前缀核对通过：唯一候选，待业务确认</x:v>
      </x:c>
      <x:c r="AA103" s="87" t="str">
        <x:v>可入库</x:v>
      </x:c>
    </x:row>
    <x:row r="104" ht="46" customHeight="1">
      <x:c r="A104" s="87" t="n">
        <x:v>2025</x:v>
      </x:c>
      <x:c r="B104" s="87" t="str">
        <x:v>Z2025-0008</x:v>
      </x:c>
      <x:c r="C104" s="87" t="str">
        <x:v>中国归类决定(Z)</x:v>
      </x:c>
      <x:c r="D104" s="88" t="str">
        <x:v>9021.9090</x:v>
      </x:c>
      <x:c r="E104" s="88" t="str">
        <x:v>9021</x:v>
      </x:c>
      <x:c r="F104" s="88" t="str">
        <x:v>902190</x:v>
      </x:c>
      <x:c r="G104" s="88" t="str">
        <x:v>8位</x:v>
      </x:c>
      <x:c r="H104" s="87" t="str">
        <x:v>植入式左心室辅助系统植入套组</x:v>
      </x:c>
      <x:c r="I104" s="87"/>
      <x:c r="J104" s="87"/>
      <x:c r="K104" s="87" t="str">
        <x:v>用于晚期心力衰竭患者的治疗，为成套包装，由植入部分及配件组成，包括：血泵、心尖缝合环、心尖取芯刀、出血管螺纹保护器、隧道刀适配器、皮肤取心开孔器、系统控制器、系统控制器紧急备用电池、模块化线缆、带有弯曲减压环的流出道人工血管（出血管）、可穿戴包、低流速2.0系统控制器等。功能原理：为电力传动的离心式心室辅助系统，主体部分植入人体，一次性使用，用于辅助或代替患者的血液循环，适用于治疗晚期重症心力衰竭的患者。</x:v>
      </x:c>
      <x:c r="L104" s="87" t="str">
        <x:v>该商品为成套设备，由植入人体部分及配件组成，用于辅助或代替患者的血液循环，适用于治疗晚期重症心力衰竭的患者。根据归类总规则一、三（二）及六，在该成套设备中，血泵构成基本特征，该植入式左心室辅助系统植入套组应归入税则号列9021.9090。</x:v>
      </x:c>
      <x:c r="M104" s="87" t="str">
        <x:v>归类总规则一、三（二）及六</x:v>
      </x:c>
      <x:c r="N104" s="87" t="str">
        <x:v>海关总署公告2025年第259号</x:v>
      </x:c>
      <x:c r="O104" s="87"/>
      <x:c r="P104" s="87"/>
      <x:c r="Q104" s="87" t="str">
        <x:v>未在所附2025失效清单中</x:v>
      </x:c>
      <x:c r="R104" s="87"/>
      <x:c r="S104" s="87" t="str">
        <x:v>A</x:v>
      </x:c>
      <x:c r="T104" s="87" t="str">
        <x:v>用户提供的官方公告附件</x:v>
      </x:c>
      <x:c r="U104" s="87" t="str">
        <x:v>2025年商品归类决定 (1).docx</x:v>
      </x:c>
      <x:c r="V104" s="87"/>
      <x:c r="W104" s="87"/>
      <x:c r="X104" s="87" t="str">
        <x:v>官方附件原文</x:v>
      </x:c>
      <x:c r="Y104" s="89" t="str">
        <x:v>9021909000</x:v>
      </x:c>
      <x:c r="Z104" s="90" t="str">
        <x:v>前缀核对通过：唯一候选，待业务确认</x:v>
      </x:c>
      <x:c r="AA104" s="87" t="str">
        <x:v>可入库</x:v>
      </x:c>
    </x:row>
    <x:row r="105" ht="46" customHeight="1">
      <x:c r="A105" s="87" t="n">
        <x:v>2025</x:v>
      </x:c>
      <x:c r="B105" s="87" t="str">
        <x:v>Z2025-0009</x:v>
      </x:c>
      <x:c r="C105" s="87" t="str">
        <x:v>中国归类决定(Z)</x:v>
      </x:c>
      <x:c r="D105" s="88" t="str">
        <x:v>9601.1000</x:v>
      </x:c>
      <x:c r="E105" s="88" t="str">
        <x:v>9601</x:v>
      </x:c>
      <x:c r="F105" s="88" t="str">
        <x:v>960110</x:v>
      </x:c>
      <x:c r="G105" s="88" t="str">
        <x:v>8位</x:v>
      </x:c>
      <x:c r="H105" s="87" t="str">
        <x:v>海象长牙</x:v>
      </x:c>
      <x:c r="I105" s="87"/>
      <x:c r="J105" s="87" t="str">
        <x:v>0.5-1米/根</x:v>
      </x:c>
      <x:c r="K105" s="87" t="str">
        <x:v>海象长牙，以整牙形态进口，经过如下加工：1.用刀片去除牙颈部残留的牙龈组织，用刮匙和探针去除牙冠表面残留的菌斑结石以及色素；2.用30%的过氧化氢溶液浸泡1天，化学溶解牙根部附着的牙周组织，漂白整个牙齿，100摄氏度高温热水煮不少于1小时，进一步溶解牙根部附着的牙周组织，再用刀片刮除一遍根部的软组织；3.用涡轮机去除着色了的牙体组织，比色后，清除其他杂质；4.打磨抛光。用途：进一步加工或收藏展示。</x:v>
      </x:c>
      <x:c r="L105" s="87" t="str">
        <x:v>海象长牙是《税则》第五章章注三和《税则注释》品目05.07及96.01具体列名的兽牙，所经过的打磨抛光工序超出了品目05.07“仅简单整理”的加工程度，符合《税则注释》品目96.01对“已加工的兽牙”的描述。根据归类总规则一及六，该商品应归入税则号列9601.1000。</x:v>
      </x:c>
      <x:c r="M105" s="87" t="str">
        <x:v>归类总规则一及六；《税则》第五章章注三和《税则注释》品目05.07及96.01具体列名的兽牙；《税则注释》品目96.01对“已加工的兽牙”的描述</x:v>
      </x:c>
      <x:c r="N105" s="87" t="str">
        <x:v>海关总署公告2025年第259号</x:v>
      </x:c>
      <x:c r="O105" s="87"/>
      <x:c r="P105" s="87"/>
      <x:c r="Q105" s="87" t="str">
        <x:v>未在所附2025失效清单中</x:v>
      </x:c>
      <x:c r="R105" s="87"/>
      <x:c r="S105" s="87" t="str">
        <x:v>A</x:v>
      </x:c>
      <x:c r="T105" s="87" t="str">
        <x:v>用户提供的官方公告附件</x:v>
      </x:c>
      <x:c r="U105" s="87" t="str">
        <x:v>2025年商品归类决定 (1).docx</x:v>
      </x:c>
      <x:c r="V105" s="87"/>
      <x:c r="W105" s="87"/>
      <x:c r="X105" s="87" t="str">
        <x:v>官方附件原文</x:v>
      </x:c>
      <x:c r="Y105" s="89" t="str"/>
      <x:c r="Z105" s="90" t="str">
        <x:v>前缀核对通过：2个候选，需人工映射</x:v>
      </x:c>
      <x:c r="AA105" s="87" t="str">
        <x:v>可入库</x:v>
      </x:c>
    </x:row>
  </x:sheetData>
  <x:pageMargins left="0.7" right="0.7" top="0.75" bottom="0.75" header="0.3" footer="0.3"/>
  <x:tableParts count="1">
    <x:tablePart xmlns:r="http://schemas.openxmlformats.org/officeDocument/2006/relationships" r:id="Re98871fec82e497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16" hidden="0" customWidth="1"/>
    <x:col min="4" max="4" width="10" hidden="0" customWidth="1"/>
    <x:col min="5" max="5" width="18" hidden="0" customWidth="1"/>
    <x:col min="6" max="6" width="12" hidden="0" customWidth="1"/>
    <x:col min="7" max="7" width="16" hidden="0" customWidth="1"/>
    <x:col min="8" max="8" width="18" hidden="0" customWidth="1"/>
    <x:col min="9" max="9" width="50" hidden="0" customWidth="1"/>
    <x:col min="10" max="10" width="80" hidden="0" customWidth="1"/>
  </x:cols>
  <x:sheetData>
    <x:row r="1" ht="30" customHeight="1">
      <x:c r="A1" s="92" t="str">
        <x:v>decision_no</x:v>
      </x:c>
      <x:c r="B1" s="92" t="str">
        <x:v>product_name_cn</x:v>
      </x:c>
      <x:c r="C1" s="92" t="str">
        <x:v>hs_code_original</x:v>
      </x:c>
      <x:c r="D1" s="92" t="str">
        <x:v>code_level</x:v>
      </x:c>
      <x:c r="E1" s="92" t="str">
        <x:v>normalized_prefix</x:v>
      </x:c>
      <x:c r="F1" s="92" t="str">
        <x:v>match_count</x:v>
      </x:c>
      <x:c r="G1" s="92" t="str">
        <x:v>核对结果</x:v>
      </x:c>
      <x:c r="H1" s="92" t="str">
        <x:v>current_code_2026</x:v>
      </x:c>
      <x:c r="I1" s="92" t="str">
        <x:v>2026候选编码</x:v>
      </x:c>
      <x:c r="J1" s="92" t="str">
        <x:v>2026候选编码及品名</x:v>
      </x:c>
    </x:row>
    <x:row r="2" ht="38" customHeight="1">
      <x:c r="A2" s="87" t="str">
        <x:v>J2023-0001</x:v>
      </x:c>
      <x:c r="B2" s="87" t="str">
        <x:v>单轮电动平衡车</x:v>
      </x:c>
      <x:c r="C2" s="88" t="str">
        <x:v>8711.6000</x:v>
      </x:c>
      <x:c r="D2" s="88" t="str">
        <x:v>8位</x:v>
      </x:c>
      <x:c r="E2" s="88" t="str">
        <x:v>87116000</x:v>
      </x:c>
      <x:c r="F2" s="87" t="n">
        <x:v>1</x:v>
      </x:c>
      <x:c r="G2" s="87" t="str">
        <x:v>唯一现行候选</x:v>
      </x:c>
      <x:c r="H2" s="88" t="str">
        <x:v>8711600000</x:v>
      </x:c>
      <x:c r="I2" s="88" t="str">
        <x:v>8711600000</x:v>
      </x:c>
      <x:c r="J2" s="87" t="str">
        <x:v>8711600000 其他装有驱动电动机的摩托车</x:v>
      </x:c>
    </x:row>
    <x:row r="3" ht="38" customHeight="1">
      <x:c r="A3" s="87" t="str">
        <x:v>W2023-1</x:v>
      </x:c>
      <x:c r="B3" s="87" t="str">
        <x:v>草本止咳糖</x:v>
      </x:c>
      <x:c r="C3" s="88" t="str">
        <x:v>1704.90</x:v>
      </x:c>
      <x:c r="D3" s="88" t="str">
        <x:v>6位</x:v>
      </x:c>
      <x:c r="E3" s="88" t="str">
        <x:v>170490</x:v>
      </x:c>
      <x:c r="F3" s="87" t="n">
        <x:v>1</x:v>
      </x:c>
      <x:c r="G3" s="87" t="str">
        <x:v>唯一现行候选</x:v>
      </x:c>
      <x:c r="H3" s="88" t="str">
        <x:v>1704900000</x:v>
      </x:c>
      <x:c r="I3" s="88" t="str">
        <x:v>1704900000</x:v>
      </x:c>
      <x:c r="J3" s="87" t="str">
        <x:v>1704900000 其他不含可可的糖食</x:v>
      </x:c>
    </x:row>
    <x:row r="4" ht="38" customHeight="1">
      <x:c r="A4" s="87" t="str">
        <x:v>W2023-10</x:v>
      </x:c>
      <x:c r="B4" s="87" t="str">
        <x:v>一次性口服尼古丁包</x:v>
      </x:c>
      <x:c r="C4" s="88" t="str">
        <x:v>2404.91</x:v>
      </x:c>
      <x:c r="D4" s="88" t="str">
        <x:v>6位</x:v>
      </x:c>
      <x:c r="E4" s="88" t="str">
        <x:v>240491</x:v>
      </x:c>
      <x:c r="F4" s="87" t="n">
        <x:v>2</x:v>
      </x:c>
      <x:c r="G4" s="87" t="str">
        <x:v>多候选</x:v>
      </x:c>
      <x:c r="H4" s="88" t="str"/>
      <x:c r="I4" s="88" t="str">
        <x:v>2404910010；2404910090</x:v>
      </x:c>
      <x:c r="J4" s="87" t="str">
        <x:v>2404910010 经口腔摄入含濒危动植物成份的供人体摄入尼古丁的产品；2404910090 经口腔摄入的其他供人体摄入尼古丁的产品</x:v>
      </x:c>
    </x:row>
    <x:row r="5" ht="38" customHeight="1">
      <x:c r="A5" s="87" t="str">
        <x:v>W2023-11</x:v>
      </x:c>
      <x:c r="B5" s="87" t="str">
        <x:v>除草剂的中间产品</x:v>
      </x:c>
      <x:c r="C5" s="88" t="str">
        <x:v>2933.39</x:v>
      </x:c>
      <x:c r="D5" s="88" t="str">
        <x:v>6位</x:v>
      </x:c>
      <x:c r="E5" s="88" t="str">
        <x:v>293339</x:v>
      </x:c>
      <x:c r="F5" s="87" t="n">
        <x:v>18</x:v>
      </x:c>
      <x:c r="G5" s="87" t="str">
        <x:v>多候选</x:v>
      </x:c>
      <x:c r="H5" s="88" t="str"/>
      <x:c r="I5" s="88" t="str">
        <x:v>2933391000；2933399011；2933399012；2933399013；2933399014；2933399015；2933399016；2933399071；2933399072；2933399073；2933399074；2933399075；2933399076；2933399077；2933399078；2933399091；2933399092；2933399099</x:v>
      </x:c>
      <x:c r="J5" s="87" t="str">
        <x:v>2933391000 二苯乙醇酸-3-奎宁环酯；2933399011 烯丙罗定,阿法美罗定,倍他美罗定,阿法罗定,苄替啶,倍他罗定,依托利定,羟哌替啶,美他佐辛,1-甲基-4-苯基-4-哌啶丙酸酯,诺匹哌酮,以及它们的盐；2933399012 1-苯乙基-4-苯基-4-哌啶乙酸酯,哌替啶中间体B,哌替啶中间体C,非那丙胺,非那佐辛,匹米诺定,丙哌利定,以及它们的盐;瑞马唑仑及其盐和异构体；2933399013 丝右哌甲酯；2933399014 精吡氟禾草灵及其酯,毒死蜱,二氯氨基吡啶羧酸,二氟吡隆,三氟甲吡醚,氯虫苯甲酰胺,啶酰菌胺,羟哌酯,啶虫脒,精喹禾灵,喹禾灵,氟吡禾灵,吡氟禾草灵,炔禾灵,氟吡乙禾灵,氟吡菌胺,卤草啶,高效氟吡甲禾灵,氟吡甲禾灵；2933399015 甲基毒死蜱,吡虫啉,驱蝇啶,烯啶虫胺,咪唑烟酸,甲咪唑烟酸,咪唑乙烟酸,炔草酯及其酸,哌草磷,哌草丹,稗草丹,吡氯氰菊酯,啶蜱脲,氟啶脲,哒幼酮,吡丙醚,氨氯吡啶酸,三氯吡氧乙酸及其盐和酯,氯氟吡氧乙酸及其盐和酯；2933399016 甲哌鎓,抗倒胺,氯吡脲,吡啶醇,啶菌噁唑,苯锈啶,啶斑肟,氟啶胺,氟啶虫酰胺,三氯甲基吡啶,咪唑嗪,丁硫啶,氯苯吡啶,哌丙灵,氟吡菌酰胺,,氯啶菌酯,氯氨吡啶酸,哌壮素,啶氧菌酯,啶菌腈,氟啶虫胺腈,环啶菌胺,四氯虫酰胺；2933399071 2,6-双（苦基氨基）-3,5-二硝基吡啶（PYX）；2933399072 全氟辛酸的盐类和相关化合物（PFOA类）；2933399073 4-（N-苯基氨基）哌啶及其盐、1-叔丁氧羰基-4-（N-苯基氨基）哌啶及其盐、N-苯基-N-(4-哌啶基）丙酰胺及其盐；2933399074 3-羟基-1-甲基哌啶,3-奎宁环酮,氨基甲酸酯类(二甲胺基甲酸吡啶酯类季铵盐和双季铵盐)；2933399075 1-乙氧羰基-4-哌啶酮、1-苄氧羰基-4-哌啶酮、1-乙酰基-4-哌啶酮；2933399076 1-叔丁氧羰基-4-(4-氟苯基氨基）哌啶、1-叔丁氧羰基-4-(3-氟苯基氨基）哌啶、1-叔丁氧羰基-4-(2-氯苯基氨基）哌啶；2933399077 4-(4-氟苯基氨基）哌啶、1-乙氧羰基-4-(N-苯基氨基）哌啶、1-乙氧羰基-4-(4﹣氟苯基氨基）哌啶、N-叔丁氧羰基-4-羟基哌啶；2933399078 4-(N-苯基氨基）哌啶的酰胺类衍生物、氨基甲酸酯类衍生物、卤代衍生物或以上衍生方式组合形式的衍生物，以及上述所有物质的盐类、4-哌啶酮的缩酮类衍生物、酰胺类衍生物、氨基甲酸酯类衍生物或以上衍生方式组合形式的衍生物，以及上述所有物质的盐类；2933399091 抗癌药原料（吉美嘧啶、甲磺酸阿帕替尼、西达本胺、甲苯磺酸尼拉帕利）；2933399092 抗癌药原料（吉美嘧啶、甲磺酸阿帕替尼、西达本胺、甲苯磺酸尼拉帕利）；2933399099 其他结构上含有一个非稠合吡啶环（不论是否氢化）的化合物</x:v>
      </x:c>
    </x:row>
    <x:row r="6" ht="38" customHeight="1">
      <x:c r="A6" s="87" t="str">
        <x:v>W2023-12</x:v>
      </x:c>
      <x:c r="B6" s="87" t="str">
        <x:v>婴儿皮肤和头发用洗发凝胶</x:v>
      </x:c>
      <x:c r="C6" s="88" t="str">
        <x:v>3305.10</x:v>
      </x:c>
      <x:c r="D6" s="88" t="str">
        <x:v>6位</x:v>
      </x:c>
      <x:c r="E6" s="88" t="str">
        <x:v>330510</x:v>
      </x:c>
      <x:c r="F6" s="87" t="n">
        <x:v>2</x:v>
      </x:c>
      <x:c r="G6" s="87" t="str">
        <x:v>多候选</x:v>
      </x:c>
      <x:c r="H6" s="88" t="str"/>
      <x:c r="I6" s="88" t="str">
        <x:v>3305100010；3305100090</x:v>
      </x:c>
      <x:c r="J6" s="87" t="str">
        <x:v>3305100010 含濒危物种成分的洗发剂；3305100090 其他洗发剂(香波)</x:v>
      </x:c>
    </x:row>
    <x:row r="7" ht="38" customHeight="1">
      <x:c r="A7" s="87" t="str">
        <x:v>W2023-13</x:v>
      </x:c>
      <x:c r="B7" s="87" t="str">
        <x:v>用作洗发剂、沐浴露和泡泡浴的洗浴产品</x:v>
      </x:c>
      <x:c r="C7" s="88" t="str">
        <x:v>3305.10</x:v>
      </x:c>
      <x:c r="D7" s="88" t="str">
        <x:v>6位</x:v>
      </x:c>
      <x:c r="E7" s="88" t="str">
        <x:v>330510</x:v>
      </x:c>
      <x:c r="F7" s="87" t="n">
        <x:v>2</x:v>
      </x:c>
      <x:c r="G7" s="87" t="str">
        <x:v>多候选</x:v>
      </x:c>
      <x:c r="H7" s="88" t="str"/>
      <x:c r="I7" s="88" t="str">
        <x:v>3305100010；3305100090</x:v>
      </x:c>
      <x:c r="J7" s="87" t="str">
        <x:v>3305100010 含濒危物种成分的洗发剂；3305100090 其他洗发剂(香波)</x:v>
      </x:c>
    </x:row>
    <x:row r="8" ht="38" customHeight="1">
      <x:c r="A8" s="87" t="str">
        <x:v>W2023-14</x:v>
      </x:c>
      <x:c r="B8" s="87" t="str">
        <x:v>尖头木桩</x:v>
      </x:c>
      <x:c r="C8" s="88" t="str">
        <x:v>4404.10</x:v>
      </x:c>
      <x:c r="D8" s="88" t="str">
        <x:v>6位</x:v>
      </x:c>
      <x:c r="E8" s="88" t="str">
        <x:v>440410</x:v>
      </x:c>
      <x:c r="F8" s="87" t="n">
        <x:v>2</x:v>
      </x:c>
      <x:c r="G8" s="87" t="str">
        <x:v>多候选</x:v>
      </x:c>
      <x:c r="H8" s="88" t="str"/>
      <x:c r="I8" s="88" t="str">
        <x:v>4404100010；4404100090</x:v>
      </x:c>
      <x:c r="J8" s="87" t="str">
        <x:v>4404100010 濒危针叶木的箍木等及类似品；4404100090 其他针叶木的箍木等及类似品</x:v>
      </x:c>
    </x:row>
    <x:row r="9" ht="38" customHeight="1">
      <x:c r="A9" s="87" t="str">
        <x:v>W2023-15</x:v>
      </x:c>
      <x:c r="B9" s="87" t="str">
        <x:v>蜂窝结构竹镶板</x:v>
      </x:c>
      <x:c r="C9" s="88" t="str">
        <x:v>4418.91</x:v>
      </x:c>
      <x:c r="D9" s="88" t="str">
        <x:v>6位</x:v>
      </x:c>
      <x:c r="E9" s="88" t="str">
        <x:v>441891</x:v>
      </x:c>
      <x:c r="F9" s="87" t="n">
        <x:v>2</x:v>
      </x:c>
      <x:c r="G9" s="87" t="str">
        <x:v>多候选</x:v>
      </x:c>
      <x:c r="H9" s="88" t="str"/>
      <x:c r="I9" s="88" t="str">
        <x:v>4418910010；4418910090</x:v>
      </x:c>
      <x:c r="J9" s="87" t="str">
        <x:v>4418910010 濒危野生竹制的其他建筑用木工制品；4418910090 其他竹制的其他建筑用木工制品</x:v>
      </x:c>
    </x:row>
    <x:row r="10" ht="38" customHeight="1">
      <x:c r="A10" s="87" t="str">
        <x:v>W2023-16</x:v>
      </x:c>
      <x:c r="B10" s="87" t="str">
        <x:v>尖头木桩</x:v>
      </x:c>
      <x:c r="C10" s="88" t="str">
        <x:v>4421.99</x:v>
      </x:c>
      <x:c r="D10" s="88" t="str">
        <x:v>6位</x:v>
      </x:c>
      <x:c r="E10" s="88" t="str">
        <x:v>442199</x:v>
      </x:c>
      <x:c r="F10" s="87" t="n">
        <x:v>5</x:v>
      </x:c>
      <x:c r="G10" s="87" t="str">
        <x:v>多候选</x:v>
      </x:c>
      <x:c r="H10" s="88" t="str"/>
      <x:c r="I10" s="88" t="str">
        <x:v>4421991010；4421991020；4421991090；4421999030；4421999090</x:v>
      </x:c>
      <x:c r="J10" s="87" t="str">
        <x:v>4421991010 拉敏木制圆签、圆棒、冰果棒、压舌片及类似一次性制品；4421991020 濒危木制圆签、圆棒、冰果棒、压舌片及类似一次性制品；4421991090 其他木制圆签、圆棒、冰果棒、压舌片及类似一次性制品；4421999030 濒危木制的未列名的木制品；4421999090 未列名的木制品</x:v>
      </x:c>
    </x:row>
    <x:row r="11" ht="38" customHeight="1">
      <x:c r="A11" s="87" t="str">
        <x:v>W2023-17</x:v>
      </x:c>
      <x:c r="B11" s="87" t="str">
        <x:v>被子袋</x:v>
      </x:c>
      <x:c r="C11" s="88" t="str">
        <x:v>6305.39</x:v>
      </x:c>
      <x:c r="D11" s="88" t="str">
        <x:v>6位</x:v>
      </x:c>
      <x:c r="E11" s="88" t="str">
        <x:v>630539</x:v>
      </x:c>
      <x:c r="F11" s="87" t="n">
        <x:v>1</x:v>
      </x:c>
      <x:c r="G11" s="87" t="str">
        <x:v>唯一现行候选</x:v>
      </x:c>
      <x:c r="H11" s="88" t="str">
        <x:v>6305390000</x:v>
      </x:c>
      <x:c r="I11" s="88" t="str">
        <x:v>6305390000</x:v>
      </x:c>
      <x:c r="J11" s="87" t="str">
        <x:v>6305390000 其他化学纤维制货物包装袋</x:v>
      </x:c>
    </x:row>
    <x:row r="12" ht="38" customHeight="1">
      <x:c r="A12" s="87" t="str">
        <x:v>W2023-18</x:v>
      </x:c>
      <x:c r="B12" s="87" t="str">
        <x:v>溢流法制平板玻璃</x:v>
      </x:c>
      <x:c r="C12" s="88" t="str">
        <x:v>7004.90</x:v>
      </x:c>
      <x:c r="D12" s="88" t="str">
        <x:v>6位</x:v>
      </x:c>
      <x:c r="E12" s="88" t="str">
        <x:v>700490</x:v>
      </x:c>
      <x:c r="F12" s="87" t="n">
        <x:v>4</x:v>
      </x:c>
      <x:c r="G12" s="87" t="str">
        <x:v>多候选</x:v>
      </x:c>
      <x:c r="H12" s="88" t="str"/>
      <x:c r="I12" s="88" t="str">
        <x:v>7004900001；7004900002；7004900003；7004900090</x:v>
      </x:c>
      <x:c r="J12" s="87" t="str">
        <x:v>7004900001 光学平板玻璃,厚度0.7mm以下；7004900002 液晶或有机发光二极管（OLED）显示屏基板用原板玻璃；7004900003 手机或平板电脑盖板（包括前盖、后盖）用原板玻璃；7004900090 拉、吹制的其他玻璃板、片</x:v>
      </x:c>
    </x:row>
    <x:row r="13" ht="38" customHeight="1">
      <x:c r="A13" s="87" t="str">
        <x:v>W2023-19</x:v>
      </x:c>
      <x:c r="B13" s="87" t="str">
        <x:v>耐热玻璃盖</x:v>
      </x:c>
      <x:c r="C13" s="88" t="str">
        <x:v>7010.20</x:v>
      </x:c>
      <x:c r="D13" s="88" t="str">
        <x:v>6位</x:v>
      </x:c>
      <x:c r="E13" s="88" t="str">
        <x:v>701020</x:v>
      </x:c>
      <x:c r="F13" s="87" t="n">
        <x:v>1</x:v>
      </x:c>
      <x:c r="G13" s="87" t="str">
        <x:v>唯一现行候选</x:v>
      </x:c>
      <x:c r="H13" s="88" t="str">
        <x:v>7010200000</x:v>
      </x:c>
      <x:c r="I13" s="88" t="str">
        <x:v>7010200000</x:v>
      </x:c>
      <x:c r="J13" s="87" t="str">
        <x:v>7010200000 玻璃制的塞、盖及类似封口器</x:v>
      </x:c>
    </x:row>
    <x:row r="14" ht="38" customHeight="1">
      <x:c r="A14" s="87" t="str">
        <x:v>W2023-2</x:v>
      </x:c>
      <x:c r="B14" s="87" t="str">
        <x:v>粉状食品配制品</x:v>
      </x:c>
      <x:c r="C14" s="88" t="str">
        <x:v>2106.10</x:v>
      </x:c>
      <x:c r="D14" s="88" t="str">
        <x:v>6位</x:v>
      </x:c>
      <x:c r="E14" s="88" t="str">
        <x:v>210610</x:v>
      </x:c>
      <x:c r="F14" s="87" t="n">
        <x:v>1</x:v>
      </x:c>
      <x:c r="G14" s="87" t="str">
        <x:v>唯一现行候选</x:v>
      </x:c>
      <x:c r="H14" s="88" t="str">
        <x:v>2106100000</x:v>
      </x:c>
      <x:c r="I14" s="88" t="str">
        <x:v>2106100000</x:v>
      </x:c>
      <x:c r="J14" s="87" t="str">
        <x:v>2106100000 浓缩蛋白质及人造蛋白物质</x:v>
      </x:c>
    </x:row>
    <x:row r="15" ht="38" customHeight="1">
      <x:c r="A15" s="87" t="str">
        <x:v>W2023-20</x:v>
      </x:c>
      <x:c r="B15" s="87" t="str">
        <x:v>多地形土壤切割机或松土机</x:v>
      </x:c>
      <x:c r="C15" s="88" t="str">
        <x:v>8432.80</x:v>
      </x:c>
      <x:c r="D15" s="88" t="str">
        <x:v>6位</x:v>
      </x:c>
      <x:c r="E15" s="88" t="str">
        <x:v>843280</x:v>
      </x:c>
      <x:c r="F15" s="87" t="n">
        <x:v>2</x:v>
      </x:c>
      <x:c r="G15" s="87" t="str">
        <x:v>多候选</x:v>
      </x:c>
      <x:c r="H15" s="88" t="str"/>
      <x:c r="I15" s="88" t="str">
        <x:v>8432801000；8432809000</x:v>
      </x:c>
      <x:c r="J15" s="87" t="str">
        <x:v>8432801000 草坪及运动场地滚压机；8432809000 其他未列名整地或耕作机械</x:v>
      </x:c>
    </x:row>
    <x:row r="16" ht="38" customHeight="1">
      <x:c r="A16" s="87" t="str">
        <x:v>W2023-21</x:v>
      </x:c>
      <x:c r="B16" s="87" t="str">
        <x:v>灯带</x:v>
      </x:c>
      <x:c r="C16" s="88" t="str">
        <x:v>8539.51</x:v>
      </x:c>
      <x:c r="D16" s="88" t="str">
        <x:v>6位</x:v>
      </x:c>
      <x:c r="E16" s="88" t="str">
        <x:v>853951</x:v>
      </x:c>
      <x:c r="F16" s="87" t="n">
        <x:v>1</x:v>
      </x:c>
      <x:c r="G16" s="87" t="str">
        <x:v>唯一现行候选</x:v>
      </x:c>
      <x:c r="H16" s="88" t="str">
        <x:v>8539510000</x:v>
      </x:c>
      <x:c r="I16" s="88" t="str">
        <x:v>8539510000</x:v>
      </x:c>
      <x:c r="J16" s="87" t="str">
        <x:v>8539510000 发光二极管（LED）模块</x:v>
      </x:c>
    </x:row>
    <x:row r="17" ht="38" customHeight="1">
      <x:c r="A17" s="87" t="str">
        <x:v>W2023-22</x:v>
      </x:c>
      <x:c r="B17" s="87" t="str">
        <x:v>轻度混合动力车</x:v>
      </x:c>
      <x:c r="C17" s="88" t="str">
        <x:v>8703.22</x:v>
      </x:c>
      <x:c r="D17" s="88" t="str">
        <x:v>6位</x:v>
      </x:c>
      <x:c r="E17" s="88" t="str">
        <x:v>870322</x:v>
      </x:c>
      <x:c r="F17" s="87" t="n">
        <x:v>8</x:v>
      </x:c>
      <x:c r="G17" s="87" t="str">
        <x:v>多候选</x:v>
      </x:c>
      <x:c r="H17" s="88" t="str"/>
      <x:c r="I17" s="88" t="str">
        <x:v>8703223010；8703223090；8703224010；8703224090；8703225010；8703225090；8703229010；8703229090</x:v>
      </x:c>
      <x:c r="J17" s="87" t="str">
        <x:v>8703223010 仅装有1＜排量≤1.5升点燃式活塞内燃发动机小轿车；8703223090 仅装有1＜排量≤1.5升点燃式活塞内燃发动机小轿车的成套散件；8703224010 仅装有1＜排量≤1.5升点燃式活塞内燃发动机四轮驱动越野车；8703224090 仅装有1＜排量≤1.5升点燃式活塞内燃发动机四轮驱动越野车的成套散件；8703225010 仅装有1＜排量≤1.5升点燃式活塞内燃发动机小客车；8703225090 仅装有1＜排量≤1.5升点燃式活塞内燃发动机小客车的成套散件；8703229010 仅装有1＜排量≤1.5升点燃式活塞内燃发动机其他载人车辆；8703229090 仅装有1＜排量≤1.5升点燃式活塞内燃发动机其他载人车的成套散件</x:v>
      </x:c>
    </x:row>
    <x:row r="18" ht="38" customHeight="1">
      <x:c r="A18" s="87" t="str">
        <x:v>W2023-23</x:v>
      </x:c>
      <x:c r="B18" s="87" t="str">
        <x:v>电子变频器</x:v>
      </x:c>
      <x:c r="C18" s="88" t="str">
        <x:v>9032.89</x:v>
      </x:c>
      <x:c r="D18" s="88" t="str">
        <x:v>6位</x:v>
      </x:c>
      <x:c r="E18" s="88" t="str">
        <x:v>903289</x:v>
      </x:c>
      <x:c r="F18" s="87" t="n">
        <x:v>15</x:v>
      </x:c>
      <x:c r="G18" s="87" t="str">
        <x:v>多候选</x:v>
      </x:c>
      <x:c r="H18" s="88" t="str"/>
      <x:c r="I18" s="88" t="str">
        <x:v>9032891100；9032891200；9032891900；9032899010；9032899020；9032899030；9032899040；9032899050；9032899060；9032899070；9032899091；9032899092；9032899093；9032899094；9032899099</x:v>
      </x:c>
      <x:c r="J18" s="87" t="str">
        <x:v>9032891100 列车自动防护系统（ATP）车载设备；9032891200 列车自动运行系统（ATO）车载设备；9032891900 其他列车自动控制系统（ATC）车载设备；9032899010 具有可再生能源和智能电网应用的自动电压和电流调节器；非液压或气压的自动调控流量、液位和湿度的仪器；9032899020 超燃冲压喷气或组合循环发动机的燃烧调节装置；9032899030 三坐标测量机用自动控制柜；9032899040 飞机自动驾驶系统；9032899050 机床用成套数控伺服装置；9032899060 电喷点火程序控制单元；9032899070 印刷机用成套数控伺服传动装置；9032899091 发动机气门正时控制（VTC）模块；9032899092 出口管制的高压水炮操控系统；9032899093 光刻机用电机控制器；9032899094 六面顶压机专用关键零部件，合成压力大于5千兆帕的高压控制系统；9032899099 其他自动调节或控制仪器及装置</x:v>
      </x:c>
    </x:row>
    <x:row r="19" ht="38" customHeight="1">
      <x:c r="A19" s="87" t="str">
        <x:v>W2023-24</x:v>
      </x:c>
      <x:c r="B19" s="87" t="str">
        <x:v>描画灯箱</x:v>
      </x:c>
      <x:c r="C19" s="88" t="str">
        <x:v>9405.42</x:v>
      </x:c>
      <x:c r="D19" s="88" t="str">
        <x:v>6位</x:v>
      </x:c>
      <x:c r="E19" s="88" t="str">
        <x:v>940542</x:v>
      </x:c>
      <x:c r="F19" s="87" t="n">
        <x:v>2</x:v>
      </x:c>
      <x:c r="G19" s="87" t="str">
        <x:v>多候选</x:v>
      </x:c>
      <x:c r="H19" s="88" t="str"/>
      <x:c r="I19" s="88" t="str">
        <x:v>9405421000；9405429000</x:v>
      </x:c>
      <x:c r="J19" s="87" t="str">
        <x:v>9405421000 其他设计为仅使用发光二极管（LED）光源的探照灯和聚光灯；9405429000 其他设计为仅使用发光二极管（LED）光源的其他电气灯具及照明装置</x:v>
      </x:c>
    </x:row>
    <x:row r="20" ht="38" customHeight="1">
      <x:c r="A20" s="87" t="str">
        <x:v>W2023-3</x:v>
      </x:c>
      <x:c r="B20" s="87" t="str">
        <x:v>大豆片</x:v>
      </x:c>
      <x:c r="C20" s="88" t="str">
        <x:v>2304.00</x:v>
      </x:c>
      <x:c r="D20" s="88" t="str">
        <x:v>6位</x:v>
      </x:c>
      <x:c r="E20" s="88" t="str">
        <x:v>230400</x:v>
      </x:c>
      <x:c r="F20" s="87" t="n">
        <x:v>2</x:v>
      </x:c>
      <x:c r="G20" s="87" t="str">
        <x:v>多候选</x:v>
      </x:c>
      <x:c r="H20" s="88" t="str"/>
      <x:c r="I20" s="88" t="str">
        <x:v>2304001000；2304009000</x:v>
      </x:c>
      <x:c r="J20" s="87" t="str">
        <x:v>2304001000 提炼豆油所得的油渣饼(豆饼)；2304009000 提炼豆油所得的其他固体残渣</x:v>
      </x:c>
    </x:row>
    <x:row r="21" ht="38" customHeight="1">
      <x:c r="A21" s="87" t="str">
        <x:v>W2023-4</x:v>
      </x:c>
      <x:c r="B21" s="87" t="str">
        <x:v>一次性口服尼古丁包</x:v>
      </x:c>
      <x:c r="C21" s="88" t="str">
        <x:v>2403.99</x:v>
      </x:c>
      <x:c r="D21" s="88" t="str">
        <x:v>6位</x:v>
      </x:c>
      <x:c r="E21" s="88" t="str">
        <x:v>240399</x:v>
      </x:c>
      <x:c r="F21" s="87" t="n">
        <x:v>2</x:v>
      </x:c>
      <x:c r="G21" s="87" t="str">
        <x:v>多候选</x:v>
      </x:c>
      <x:c r="H21" s="88" t="str"/>
      <x:c r="I21" s="88" t="str">
        <x:v>2403990010；2403990090</x:v>
      </x:c>
      <x:c r="J21" s="87" t="str">
        <x:v>2403990010 烟草精汁；2403990090 其他烟草及烟草代用品的制品</x:v>
      </x:c>
    </x:row>
    <x:row r="22" ht="38" customHeight="1">
      <x:c r="A22" s="87" t="str">
        <x:v>W2023-5</x:v>
      </x:c>
      <x:c r="B22" s="87" t="str">
        <x:v>鼻烟</x:v>
      </x:c>
      <x:c r="C22" s="88" t="str">
        <x:v>2403.99</x:v>
      </x:c>
      <x:c r="D22" s="88" t="str">
        <x:v>6位</x:v>
      </x:c>
      <x:c r="E22" s="88" t="str">
        <x:v>240399</x:v>
      </x:c>
      <x:c r="F22" s="87" t="n">
        <x:v>2</x:v>
      </x:c>
      <x:c r="G22" s="87" t="str">
        <x:v>多候选</x:v>
      </x:c>
      <x:c r="H22" s="88" t="str"/>
      <x:c r="I22" s="88" t="str">
        <x:v>2403990010；2403990090</x:v>
      </x:c>
      <x:c r="J22" s="87" t="str">
        <x:v>2403990010 烟草精汁；2403990090 其他烟草及烟草代用品的制品</x:v>
      </x:c>
    </x:row>
    <x:row r="23" ht="38" customHeight="1">
      <x:c r="A23" s="87" t="str">
        <x:v>W2023-6</x:v>
      </x:c>
      <x:c r="B23" s="87" t="str">
        <x:v>尼古丁吸入器</x:v>
      </x:c>
      <x:c r="C23" s="88" t="str">
        <x:v>2404.12</x:v>
      </x:c>
      <x:c r="D23" s="88" t="str">
        <x:v>6位</x:v>
      </x:c>
      <x:c r="E23" s="88" t="str">
        <x:v>240412</x:v>
      </x:c>
      <x:c r="F23" s="87" t="n">
        <x:v>1</x:v>
      </x:c>
      <x:c r="G23" s="87" t="str">
        <x:v>唯一现行候选</x:v>
      </x:c>
      <x:c r="H23" s="88" t="str">
        <x:v>2404120000</x:v>
      </x:c>
      <x:c r="I23" s="88" t="str">
        <x:v>2404120000</x:v>
      </x:c>
      <x:c r="J23" s="87" t="str">
        <x:v>2404120000 不含烟草或再造烟草、含尼古丁的非经燃烧吸用的产品</x:v>
      </x:c>
    </x:row>
    <x:row r="24" ht="38" customHeight="1">
      <x:c r="A24" s="87" t="str">
        <x:v>W2023-7</x:v>
      </x:c>
      <x:c r="B24" s="87" t="str">
        <x:v>尼古丁液</x:v>
      </x:c>
      <x:c r="C24" s="88" t="str">
        <x:v>2404.12</x:v>
      </x:c>
      <x:c r="D24" s="88" t="str">
        <x:v>6位</x:v>
      </x:c>
      <x:c r="E24" s="88" t="str">
        <x:v>240412</x:v>
      </x:c>
      <x:c r="F24" s="87" t="n">
        <x:v>1</x:v>
      </x:c>
      <x:c r="G24" s="87" t="str">
        <x:v>唯一现行候选</x:v>
      </x:c>
      <x:c r="H24" s="88" t="str">
        <x:v>2404120000</x:v>
      </x:c>
      <x:c r="I24" s="88" t="str">
        <x:v>2404120000</x:v>
      </x:c>
      <x:c r="J24" s="87" t="str">
        <x:v>2404120000 不含烟草或再造烟草、含尼古丁的非经燃烧吸用的产品</x:v>
      </x:c>
    </x:row>
    <x:row r="25" ht="38" customHeight="1">
      <x:c r="A25" s="87" t="str">
        <x:v>W2023-8</x:v>
      </x:c>
      <x:c r="B25" s="87" t="str">
        <x:v>精油扩散器</x:v>
      </x:c>
      <x:c r="C25" s="88" t="str">
        <x:v>2404.19</x:v>
      </x:c>
      <x:c r="D25" s="88" t="str">
        <x:v>6位</x:v>
      </x:c>
      <x:c r="E25" s="88" t="str">
        <x:v>240419</x:v>
      </x:c>
      <x:c r="F25" s="87" t="n">
        <x:v>2</x:v>
      </x:c>
      <x:c r="G25" s="87" t="str">
        <x:v>多候选</x:v>
      </x:c>
      <x:c r="H25" s="88" t="str"/>
      <x:c r="I25" s="88" t="str">
        <x:v>2404191000；2404199000</x:v>
      </x:c>
      <x:c r="J25" s="87" t="str">
        <x:v>2404191000 含烟草代用品的非经燃烧吸用的产品，且不含烟草、再造（均化）烟草、尼古丁；2404199000 其他非经燃烧吸用的尼古丁代用品</x:v>
      </x:c>
    </x:row>
    <x:row r="26" ht="38" customHeight="1">
      <x:c r="A26" s="87" t="str">
        <x:v>W2023-9</x:v>
      </x:c>
      <x:c r="B26" s="87" t="str">
        <x:v>水烟用化学品</x:v>
      </x:c>
      <x:c r="C26" s="88" t="str">
        <x:v>2404.19</x:v>
      </x:c>
      <x:c r="D26" s="88" t="str">
        <x:v>6位</x:v>
      </x:c>
      <x:c r="E26" s="88" t="str">
        <x:v>240419</x:v>
      </x:c>
      <x:c r="F26" s="87" t="n">
        <x:v>2</x:v>
      </x:c>
      <x:c r="G26" s="87" t="str">
        <x:v>多候选</x:v>
      </x:c>
      <x:c r="H26" s="88" t="str"/>
      <x:c r="I26" s="88" t="str">
        <x:v>2404191000；2404199000</x:v>
      </x:c>
      <x:c r="J26" s="87" t="str">
        <x:v>2404191000 含烟草代用品的非经燃烧吸用的产品，且不含烟草、再造（均化）烟草、尼古丁；2404199000 其他非经燃烧吸用的尼古丁代用品</x:v>
      </x:c>
    </x:row>
    <x:row r="27" ht="38" customHeight="1">
      <x:c r="A27" s="87" t="str">
        <x:v>Z2023-0001</x:v>
      </x:c>
      <x:c r="B27" s="87" t="str">
        <x:v>冷冻生猪前段（不含前肘）</x:v>
      </x:c>
      <x:c r="C27" s="88" t="str">
        <x:v>0203.2200</x:v>
      </x:c>
      <x:c r="D27" s="88" t="str">
        <x:v>8位</x:v>
      </x:c>
      <x:c r="E27" s="88" t="str">
        <x:v>02032200</x:v>
      </x:c>
      <x:c r="F27" s="87" t="n">
        <x:v>2</x:v>
      </x:c>
      <x:c r="G27" s="87" t="str">
        <x:v>多候选</x:v>
      </x:c>
      <x:c r="H27" s="88" t="str"/>
      <x:c r="I27" s="88" t="str">
        <x:v>0203220010；0203220090</x:v>
      </x:c>
      <x:c r="J27" s="87" t="str">
        <x:v>0203220010 冻藏带骨濒危猪前腿、后腿及肉块；0203220090 冻藏带骨其他猪前腿、后腿及肉块</x:v>
      </x:c>
    </x:row>
    <x:row r="28" ht="38" customHeight="1">
      <x:c r="A28" s="87" t="str">
        <x:v>Z2023-0002</x:v>
      </x:c>
      <x:c r="B28" s="87" t="str">
        <x:v>鲨鱼软骨粉</x:v>
      </x:c>
      <x:c r="C28" s="88" t="str">
        <x:v>0309.1000</x:v>
      </x:c>
      <x:c r="D28" s="88" t="str">
        <x:v>8位</x:v>
      </x:c>
      <x:c r="E28" s="88" t="str">
        <x:v>03091000</x:v>
      </x:c>
      <x:c r="F28" s="87" t="n">
        <x:v>2</x:v>
      </x:c>
      <x:c r="G28" s="87" t="str">
        <x:v>多候选</x:v>
      </x:c>
      <x:c r="H28" s="88" t="str"/>
      <x:c r="I28" s="88" t="str">
        <x:v>0309100010；0309100090</x:v>
      </x:c>
      <x:c r="J28" s="87" t="str">
        <x:v>0309100010 适合供人食用的濒危鱼的细粉、粗粉及团粒；0309100090 适合供人食用的其他鱼的细粉、粗粉及团粒</x:v>
      </x:c>
    </x:row>
    <x:row r="29" ht="38" customHeight="1">
      <x:c r="A29" s="87" t="str">
        <x:v>Z2023-0003</x:v>
      </x:c>
      <x:c r="B29" s="87" t="str">
        <x:v>莱菲得番茄饮品</x:v>
      </x:c>
      <x:c r="C29" s="88" t="str">
        <x:v>2202.9900</x:v>
      </x:c>
      <x:c r="D29" s="88" t="str">
        <x:v>8位</x:v>
      </x:c>
      <x:c r="E29" s="88" t="str">
        <x:v>22029900</x:v>
      </x:c>
      <x:c r="F29" s="87" t="n">
        <x:v>4</x:v>
      </x:c>
      <x:c r="G29" s="87" t="str">
        <x:v>多候选</x:v>
      </x:c>
      <x:c r="H29" s="88" t="str"/>
      <x:c r="I29" s="88" t="str">
        <x:v>2202990011；2202990019；2202990091；2202990099</x:v>
      </x:c>
      <x:c r="J29" s="87" t="str">
        <x:v>2202990011 其他含濒危动植物成份散装无酒精饮料；2202990019 其他散装无酒精饮料；2202990091 其他含濒危动植物成份其他包装无酒精饮料；2202990099 其他包装无酒精饮料</x:v>
      </x:c>
    </x:row>
    <x:row r="30" ht="38" customHeight="1">
      <x:c r="A30" s="87" t="str">
        <x:v>Z2023-0004</x:v>
      </x:c>
      <x:c r="B30" s="87" t="str">
        <x:v>草莓风味全脂调制乳</x:v>
      </x:c>
      <x:c r="C30" s="88" t="str">
        <x:v>2202.9900</x:v>
      </x:c>
      <x:c r="D30" s="88" t="str">
        <x:v>8位</x:v>
      </x:c>
      <x:c r="E30" s="88" t="str">
        <x:v>22029900</x:v>
      </x:c>
      <x:c r="F30" s="87" t="n">
        <x:v>4</x:v>
      </x:c>
      <x:c r="G30" s="87" t="str">
        <x:v>多候选</x:v>
      </x:c>
      <x:c r="H30" s="88" t="str"/>
      <x:c r="I30" s="88" t="str">
        <x:v>2202990011；2202990019；2202990091；2202990099</x:v>
      </x:c>
      <x:c r="J30" s="87" t="str">
        <x:v>2202990011 其他含濒危动植物成份散装无酒精饮料；2202990019 其他散装无酒精饮料；2202990091 其他含濒危动植物成份其他包装无酒精饮料；2202990099 其他包装无酒精饮料</x:v>
      </x:c>
    </x:row>
    <x:row r="31" ht="38" customHeight="1">
      <x:c r="A31" s="87" t="str">
        <x:v>Z2023-0005</x:v>
      </x:c>
      <x:c r="B31" s="87" t="str">
        <x:v>荔枝味桃红起泡鸡尾酒</x:v>
      </x:c>
      <x:c r="C31" s="88" t="str">
        <x:v>2206.0090</x:v>
      </x:c>
      <x:c r="D31" s="88" t="str">
        <x:v>8位</x:v>
      </x:c>
      <x:c r="E31" s="88" t="str">
        <x:v>22060090</x:v>
      </x:c>
      <x:c r="F31" s="87" t="n">
        <x:v>1</x:v>
      </x:c>
      <x:c r="G31" s="87" t="str">
        <x:v>唯一现行候选</x:v>
      </x:c>
      <x:c r="H31" s="88" t="str">
        <x:v>2206009000</x:v>
      </x:c>
      <x:c r="I31" s="88" t="str">
        <x:v>2206009000</x:v>
      </x:c>
      <x:c r="J31" s="87" t="str">
        <x:v>2206009000 其他发酵饮料</x:v>
      </x:c>
    </x:row>
    <x:row r="32" ht="38" customHeight="1">
      <x:c r="A32" s="87" t="str">
        <x:v>Z2023-0006</x:v>
      </x:c>
      <x:c r="B32" s="87" t="str">
        <x:v>干制蛤蚧</x:v>
      </x:c>
      <x:c r="C32" s="88" t="str">
        <x:v>3001.9090</x:v>
      </x:c>
      <x:c r="D32" s="88" t="str">
        <x:v>8位</x:v>
      </x:c>
      <x:c r="E32" s="88" t="str">
        <x:v>30019090</x:v>
      </x:c>
      <x:c r="F32" s="87" t="n">
        <x:v>6</x:v>
      </x:c>
      <x:c r="G32" s="87" t="str">
        <x:v>多候选</x:v>
      </x:c>
      <x:c r="H32" s="88" t="str"/>
      <x:c r="I32" s="88" t="str">
        <x:v>3001909011；3001909019；3001909020；3001909091；3001909092；3001909099</x:v>
      </x:c>
      <x:c r="J32" s="87" t="str">
        <x:v>3001909011 濒危蛇毒制品；3001909019 非濒危蛇毒制品；3001909020 含有人类遗传资源的人体制品；3001909091 其他濒危动物制品；3001909092 人类腺体、器官、组织；3001909099 其他未列名的人体或动物制品</x:v>
      </x:c>
    </x:row>
    <x:row r="33" ht="38" customHeight="1">
      <x:c r="A33" s="87" t="str">
        <x:v>Z2023-0007</x:v>
      </x:c>
      <x:c r="B33" s="87" t="str">
        <x:v>喷雾干燥猪血浆蛋白粉</x:v>
      </x:c>
      <x:c r="C33" s="88" t="str">
        <x:v>3002.1200</x:v>
      </x:c>
      <x:c r="D33" s="88" t="str">
        <x:v>8位</x:v>
      </x:c>
      <x:c r="E33" s="88" t="str">
        <x:v>30021200</x:v>
      </x:c>
      <x:c r="F33" s="87" t="n">
        <x:v>5</x:v>
      </x:c>
      <x:c r="G33" s="87" t="str">
        <x:v>多候选</x:v>
      </x:c>
      <x:c r="H33" s="88" t="str"/>
      <x:c r="I33" s="88" t="str">
        <x:v>3002120023；3002120030；3002120093；3002120094；3002120099</x:v>
      </x:c>
      <x:c r="J33" s="87" t="str">
        <x:v>3002120023 含有人类遗传资源的抗血清及其他血份；3002120030 兽用血清制品；3002120093 罕见病药品制剂；3002120094 其他含濒危动物成分的抗血清及血份；3002120099 其他抗血清及其他血份</x:v>
      </x:c>
    </x:row>
    <x:row r="34" ht="38" customHeight="1">
      <x:c r="A34" s="87" t="str">
        <x:v>Z2023-0008</x:v>
      </x:c>
      <x:c r="B34" s="87" t="str">
        <x:v>檀香枝丫材</x:v>
      </x:c>
      <x:c r="C34" s="88" t="str">
        <x:v>4401.1200</x:v>
      </x:c>
      <x:c r="D34" s="88" t="str">
        <x:v>8位</x:v>
      </x:c>
      <x:c r="E34" s="88" t="str">
        <x:v>44011200</x:v>
      </x:c>
      <x:c r="F34" s="87" t="n">
        <x:v>2</x:v>
      </x:c>
      <x:c r="G34" s="87" t="str">
        <x:v>多候选</x:v>
      </x:c>
      <x:c r="H34" s="88" t="str"/>
      <x:c r="I34" s="88" t="str">
        <x:v>4401120010；4401120090</x:v>
      </x:c>
      <x:c r="J34" s="87" t="str">
        <x:v>4401120010 濒危非针叶木薪柴；4401120090 其他非针叶木薪柴</x:v>
      </x:c>
    </x:row>
    <x:row r="35" ht="38" customHeight="1">
      <x:c r="A35" s="87" t="str">
        <x:v>Z2023-0009</x:v>
      </x:c>
      <x:c r="B35" s="87" t="str">
        <x:v>檀香枝丫材</x:v>
      </x:c>
      <x:c r="C35" s="88" t="str">
        <x:v>4403.4990</x:v>
      </x:c>
      <x:c r="D35" s="88" t="str">
        <x:v>8位</x:v>
      </x:c>
      <x:c r="E35" s="88" t="str">
        <x:v>44034990</x:v>
      </x:c>
      <x:c r="F35" s="87" t="n">
        <x:v>3</x:v>
      </x:c>
      <x:c r="G35" s="87" t="str">
        <x:v>多候选</x:v>
      </x:c>
      <x:c r="H35" s="88" t="str"/>
      <x:c r="I35" s="88" t="str">
        <x:v>4403499010；4403499020；4403499090</x:v>
      </x:c>
      <x:c r="J35" s="87" t="str">
        <x:v>4403499010 南美蒺藜木（玉檀木）原木；4403499020 其他濒危热带原木；4403499090 其他热带原木</x:v>
      </x:c>
    </x:row>
    <x:row r="36" ht="38" customHeight="1">
      <x:c r="A36" s="87" t="str">
        <x:v>Z2023-0010</x:v>
      </x:c>
      <x:c r="B36" s="87" t="str">
        <x:v>涂塑卡纸</x:v>
      </x:c>
      <x:c r="C36" s="88" t="str">
        <x:v>4811.5199</x:v>
      </x:c>
      <x:c r="D36" s="88" t="str">
        <x:v>8位</x:v>
      </x:c>
      <x:c r="E36" s="88" t="str">
        <x:v>48115199</x:v>
      </x:c>
      <x:c r="F36" s="87" t="n">
        <x:v>1</x:v>
      </x:c>
      <x:c r="G36" s="87" t="str">
        <x:v>唯一现行候选</x:v>
      </x:c>
      <x:c r="H36" s="88" t="str">
        <x:v>4811519900</x:v>
      </x:c>
      <x:c r="I36" s="88" t="str">
        <x:v>4811519900</x:v>
      </x:c>
      <x:c r="J36" s="87" t="str">
        <x:v>4811519900 漂白的其他涂,浸,盖厚纸及纸板</x:v>
      </x:c>
    </x:row>
    <x:row r="37" ht="38" customHeight="1">
      <x:c r="A37" s="87" t="str">
        <x:v>Z2023-0011</x:v>
      </x:c>
      <x:c r="B37" s="87" t="str">
        <x:v>锅炉构架</x:v>
      </x:c>
      <x:c r="C37" s="88" t="str">
        <x:v>8402.9000</x:v>
      </x:c>
      <x:c r="D37" s="88" t="str">
        <x:v>8位</x:v>
      </x:c>
      <x:c r="E37" s="88" t="str">
        <x:v>84029000</x:v>
      </x:c>
      <x:c r="F37" s="87" t="n">
        <x:v>1</x:v>
      </x:c>
      <x:c r="G37" s="87" t="str">
        <x:v>唯一现行候选</x:v>
      </x:c>
      <x:c r="H37" s="88" t="str">
        <x:v>8402900000</x:v>
      </x:c>
      <x:c r="I37" s="88" t="str">
        <x:v>8402900000</x:v>
      </x:c>
      <x:c r="J37" s="87" t="str">
        <x:v>8402900000 蒸汽锅炉及过热水锅炉的零件</x:v>
      </x:c>
    </x:row>
    <x:row r="38" ht="38" customHeight="1">
      <x:c r="A38" s="87" t="str">
        <x:v>Z2023-0012</x:v>
      </x:c>
      <x:c r="B38" s="87" t="str">
        <x:v>清扫车</x:v>
      </x:c>
      <x:c r="C38" s="88" t="str">
        <x:v>8479.8999</x:v>
      </x:c>
      <x:c r="D38" s="88" t="str">
        <x:v>8位</x:v>
      </x:c>
      <x:c r="E38" s="88" t="str">
        <x:v>84798999</x:v>
      </x:c>
      <x:c r="F38" s="87" t="n">
        <x:v>13</x:v>
      </x:c>
      <x:c r="G38" s="87" t="str">
        <x:v>多候选</x:v>
      </x:c>
      <x:c r="H38" s="88" t="str"/>
      <x:c r="I38" s="88" t="str">
        <x:v>8479899910；8479899920；8479899930；8479899940；8479899952；8479899953；8479899954；8479899955；8479899956；8479899957；8479899959；8479899960；8479899990</x:v>
      </x:c>
      <x:c r="J38"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39" ht="38" customHeight="1">
      <x:c r="A39" s="87" t="str">
        <x:v>Z2023-0013</x:v>
      </x:c>
      <x:c r="B39" s="87" t="str">
        <x:v>管道污水调节装置</x:v>
      </x:c>
      <x:c r="C39" s="88" t="str">
        <x:v>8479.8999</x:v>
      </x:c>
      <x:c r="D39" s="88" t="str">
        <x:v>8位</x:v>
      </x:c>
      <x:c r="E39" s="88" t="str">
        <x:v>84798999</x:v>
      </x:c>
      <x:c r="F39" s="87" t="n">
        <x:v>13</x:v>
      </x:c>
      <x:c r="G39" s="87" t="str">
        <x:v>多候选</x:v>
      </x:c>
      <x:c r="H39" s="88" t="str"/>
      <x:c r="I39" s="88" t="str">
        <x:v>8479899910；8479899920；8479899930；8479899940；8479899952；8479899953；8479899954；8479899955；8479899956；8479899957；8479899959；8479899960；8479899990</x:v>
      </x:c>
      <x:c r="J39"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0" ht="38" customHeight="1">
      <x:c r="A40" s="87" t="str">
        <x:v>Z2023-0014</x:v>
      </x:c>
      <x:c r="B40" s="87" t="str">
        <x:v>日晒牢度及气候试验机</x:v>
      </x:c>
      <x:c r="C40" s="88" t="str">
        <x:v>8479.8999</x:v>
      </x:c>
      <x:c r="D40" s="88" t="str">
        <x:v>8位</x:v>
      </x:c>
      <x:c r="E40" s="88" t="str">
        <x:v>84798999</x:v>
      </x:c>
      <x:c r="F40" s="87" t="n">
        <x:v>13</x:v>
      </x:c>
      <x:c r="G40" s="87" t="str">
        <x:v>多候选</x:v>
      </x:c>
      <x:c r="H40" s="88" t="str"/>
      <x:c r="I40" s="88" t="str">
        <x:v>8479899910；8479899920；8479899930；8479899940；8479899952；8479899953；8479899954；8479899955；8479899956；8479899957；8479899959；8479899960；8479899990</x:v>
      </x:c>
      <x:c r="J40"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1" ht="38" customHeight="1">
      <x:c r="A41" s="87" t="str">
        <x:v>Z2023-0015</x:v>
      </x:c>
      <x:c r="B41" s="87" t="str">
        <x:v>二氧化碳培养箱</x:v>
      </x:c>
      <x:c r="C41" s="88" t="str">
        <x:v>8479.8999</x:v>
      </x:c>
      <x:c r="D41" s="88" t="str">
        <x:v>8位</x:v>
      </x:c>
      <x:c r="E41" s="88" t="str">
        <x:v>84798999</x:v>
      </x:c>
      <x:c r="F41" s="87" t="n">
        <x:v>13</x:v>
      </x:c>
      <x:c r="G41" s="87" t="str">
        <x:v>多候选</x:v>
      </x:c>
      <x:c r="H41" s="88" t="str"/>
      <x:c r="I41" s="88" t="str">
        <x:v>8479899910；8479899920；8479899930；8479899940；8479899952；8479899953；8479899954；8479899955；8479899956；8479899957；8479899959；8479899960；8479899990</x:v>
      </x:c>
      <x:c r="J41"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2" ht="38" customHeight="1">
      <x:c r="A42" s="87" t="str">
        <x:v>Z2023-0016</x:v>
      </x:c>
      <x:c r="B42" s="87" t="str">
        <x:v>恒温制冷摇床</x:v>
      </x:c>
      <x:c r="C42" s="88" t="str">
        <x:v>8479.8999</x:v>
      </x:c>
      <x:c r="D42" s="88" t="str">
        <x:v>8位</x:v>
      </x:c>
      <x:c r="E42" s="88" t="str">
        <x:v>84798999</x:v>
      </x:c>
      <x:c r="F42" s="87" t="n">
        <x:v>13</x:v>
      </x:c>
      <x:c r="G42" s="87" t="str">
        <x:v>多候选</x:v>
      </x:c>
      <x:c r="H42" s="88" t="str"/>
      <x:c r="I42" s="88" t="str">
        <x:v>8479899910；8479899920；8479899930；8479899940；8479899952；8479899953；8479899954；8479899955；8479899956；8479899957；8479899959；8479899960；8479899990</x:v>
      </x:c>
      <x:c r="J42"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3" ht="38" customHeight="1">
      <x:c r="A43" s="87" t="str">
        <x:v>Z2023-0017</x:v>
      </x:c>
      <x:c r="B43" s="87" t="str">
        <x:v>大位移量转轴式桥量伸缩装置</x:v>
      </x:c>
      <x:c r="C43" s="88" t="str">
        <x:v>8479.8999</x:v>
      </x:c>
      <x:c r="D43" s="88" t="str">
        <x:v>8位</x:v>
      </x:c>
      <x:c r="E43" s="88" t="str">
        <x:v>84798999</x:v>
      </x:c>
      <x:c r="F43" s="87" t="n">
        <x:v>13</x:v>
      </x:c>
      <x:c r="G43" s="87" t="str">
        <x:v>多候选</x:v>
      </x:c>
      <x:c r="H43" s="88" t="str"/>
      <x:c r="I43" s="88" t="str">
        <x:v>8479899910；8479899920；8479899930；8479899940；8479899952；8479899953；8479899954；8479899955；8479899956；8479899957；8479899959；8479899960；8479899990</x:v>
      </x:c>
      <x:c r="J43"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4" ht="38" customHeight="1">
      <x:c r="A44" s="87" t="str">
        <x:v>Z2023-0018</x:v>
      </x:c>
      <x:c r="B44" s="87" t="str">
        <x:v>电动栅栏门用自锁装置（申报品名）</x:v>
      </x:c>
      <x:c r="C44" s="88" t="str">
        <x:v>8479.8999</x:v>
      </x:c>
      <x:c r="D44" s="88" t="str">
        <x:v>8位</x:v>
      </x:c>
      <x:c r="E44" s="88" t="str">
        <x:v>84798999</x:v>
      </x:c>
      <x:c r="F44" s="87" t="n">
        <x:v>13</x:v>
      </x:c>
      <x:c r="G44" s="87" t="str">
        <x:v>多候选</x:v>
      </x:c>
      <x:c r="H44" s="88" t="str"/>
      <x:c r="I44" s="88" t="str">
        <x:v>8479899910；8479899920；8479899930；8479899940；8479899952；8479899953；8479899954；8479899955；8479899956；8479899957；8479899959；8479899960；8479899990</x:v>
      </x:c>
      <x:c r="J44"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5" ht="38" customHeight="1">
      <x:c r="A45" s="87" t="str">
        <x:v>Z2023-0019</x:v>
      </x:c>
      <x:c r="B45" s="87" t="str">
        <x:v>透析器复用处理系统</x:v>
      </x:c>
      <x:c r="C45" s="88" t="str">
        <x:v>8479.8999</x:v>
      </x:c>
      <x:c r="D45" s="88" t="str">
        <x:v>8位</x:v>
      </x:c>
      <x:c r="E45" s="88" t="str">
        <x:v>84798999</x:v>
      </x:c>
      <x:c r="F45" s="87" t="n">
        <x:v>13</x:v>
      </x:c>
      <x:c r="G45" s="87" t="str">
        <x:v>多候选</x:v>
      </x:c>
      <x:c r="H45" s="88" t="str"/>
      <x:c r="I45" s="88" t="str">
        <x:v>8479899910；8479899920；8479899930；8479899940；8479899952；8479899953；8479899954；8479899955；8479899956；8479899957；8479899959；8479899960；8479899990</x:v>
      </x:c>
      <x:c r="J45"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6" ht="38" customHeight="1">
      <x:c r="A46" s="87" t="str">
        <x:v>Z2023-0020</x:v>
      </x:c>
      <x:c r="B46" s="87" t="str">
        <x:v>全自动血液成分分离机</x:v>
      </x:c>
      <x:c r="C46" s="88" t="str">
        <x:v>8479.8999</x:v>
      </x:c>
      <x:c r="D46" s="88" t="str">
        <x:v>8位</x:v>
      </x:c>
      <x:c r="E46" s="88" t="str">
        <x:v>84798999</x:v>
      </x:c>
      <x:c r="F46" s="87" t="n">
        <x:v>13</x:v>
      </x:c>
      <x:c r="G46" s="87" t="str">
        <x:v>多候选</x:v>
      </x:c>
      <x:c r="H46" s="88" t="str"/>
      <x:c r="I46" s="88" t="str">
        <x:v>8479899910；8479899920；8479899930；8479899940；8479899952；8479899953；8479899954；8479899955；8479899956；8479899957；8479899959；8479899960；8479899990</x:v>
      </x:c>
      <x:c r="J46"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7" ht="38" customHeight="1">
      <x:c r="A47" s="87" t="str">
        <x:v>Z2023-0021</x:v>
      </x:c>
      <x:c r="B47" s="87" t="str">
        <x:v>联体垃圾压缩箱</x:v>
      </x:c>
      <x:c r="C47" s="88" t="str">
        <x:v>8479.8999</x:v>
      </x:c>
      <x:c r="D47" s="88" t="str">
        <x:v>8位</x:v>
      </x:c>
      <x:c r="E47" s="88" t="str">
        <x:v>84798999</x:v>
      </x:c>
      <x:c r="F47" s="87" t="n">
        <x:v>13</x:v>
      </x:c>
      <x:c r="G47" s="87" t="str">
        <x:v>多候选</x:v>
      </x:c>
      <x:c r="H47" s="88" t="str"/>
      <x:c r="I47" s="88" t="str">
        <x:v>8479899910；8479899920；8479899930；8479899940；8479899952；8479899953；8479899954；8479899955；8479899956；8479899957；8479899959；8479899960；8479899990</x:v>
      </x:c>
      <x:c r="J47"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8" ht="38" customHeight="1">
      <x:c r="A48" s="87" t="str">
        <x:v>Z2023-0022</x:v>
      </x:c>
      <x:c r="B48" s="87" t="str">
        <x:v>采油机械封隔器</x:v>
      </x:c>
      <x:c r="C48" s="88" t="str">
        <x:v>8479.8999</x:v>
      </x:c>
      <x:c r="D48" s="88" t="str">
        <x:v>8位</x:v>
      </x:c>
      <x:c r="E48" s="88" t="str">
        <x:v>84798999</x:v>
      </x:c>
      <x:c r="F48" s="87" t="n">
        <x:v>13</x:v>
      </x:c>
      <x:c r="G48" s="87" t="str">
        <x:v>多候选</x:v>
      </x:c>
      <x:c r="H48" s="88" t="str"/>
      <x:c r="I48" s="88" t="str">
        <x:v>8479899910；8479899920；8479899930；8479899940；8479899952；8479899953；8479899954；8479899955；8479899956；8479899957；8479899959；8479899960；8479899990</x:v>
      </x:c>
      <x:c r="J48"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49" ht="38" customHeight="1">
      <x:c r="A49" s="87" t="str">
        <x:v>Z2023-0023</x:v>
      </x:c>
      <x:c r="B49" s="87" t="str">
        <x:v>烫金机</x:v>
      </x:c>
      <x:c r="C49" s="88" t="str">
        <x:v>8479.8999</x:v>
      </x:c>
      <x:c r="D49" s="88" t="str">
        <x:v>8位</x:v>
      </x:c>
      <x:c r="E49" s="88" t="str">
        <x:v>84798999</x:v>
      </x:c>
      <x:c r="F49" s="87" t="n">
        <x:v>13</x:v>
      </x:c>
      <x:c r="G49" s="87" t="str">
        <x:v>多候选</x:v>
      </x:c>
      <x:c r="H49" s="88" t="str"/>
      <x:c r="I49" s="88" t="str">
        <x:v>8479899910；8479899920；8479899930；8479899940；8479899952；8479899953；8479899954；8479899955；8479899956；8479899957；8479899959；8479899960；8479899990</x:v>
      </x:c>
      <x:c r="J49"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50" ht="38" customHeight="1">
      <x:c r="A50" s="87" t="str">
        <x:v>Z2023-0024</x:v>
      </x:c>
      <x:c r="B50" s="87" t="str">
        <x:v>压力水柜</x:v>
      </x:c>
      <x:c r="C50" s="88" t="str">
        <x:v>8479.8999</x:v>
      </x:c>
      <x:c r="D50" s="88" t="str">
        <x:v>8位</x:v>
      </x:c>
      <x:c r="E50" s="88" t="str">
        <x:v>84798999</x:v>
      </x:c>
      <x:c r="F50" s="87" t="n">
        <x:v>13</x:v>
      </x:c>
      <x:c r="G50" s="87" t="str">
        <x:v>多候选</x:v>
      </x:c>
      <x:c r="H50" s="88" t="str"/>
      <x:c r="I50" s="88" t="str">
        <x:v>8479899910；8479899920；8479899930；8479899940；8479899952；8479899953；8479899954；8479899955；8479899956；8479899957；8479899959；8479899960；8479899990</x:v>
      </x:c>
      <x:c r="J50" s="87" t="str">
        <x:v>8479899910 用于光盘生产的金属母盘生产设备；8479899920 用于光盘生产的粘合机；8479899930 用于光盘生产的真空金属溅镀机；8479899940 保护胶涂覆机及染料层旋涂机；8479899952 生物反应器；8479899953 恒化器；8479899954 连续灌流系统；8479899955 三坐标或多坐标联动和程控的纤维缠绕机；8479899956 六面顶压机设备，具有以下所有特性：专门设计或制造的X/Y/Z三轴六面同步加压的大型液压机，缸径尺寸大于等于500毫米或设计使用压力大于等于5千兆帕。；8479899957 微波等离子体化学气相沉积法（MPCVD）设备，具有以下所有特性：专门设计或制造的MPCVD设备，微波功率在10千瓦以上，且微波频率为915兆赫或2450兆赫。；8479899959 其他两用物项管制机器及机械器具；8479899960 绕线机；8479899990 本章其他未列名机器及机械器具</x:v>
      </x:c>
    </x:row>
    <x:row r="51" ht="38" customHeight="1">
      <x:c r="A51" s="87" t="str">
        <x:v>Z2023-0025</x:v>
      </x:c>
      <x:c r="B51" s="87" t="str">
        <x:v>锂离子充电电池芯</x:v>
      </x:c>
      <x:c r="C51" s="88" t="str">
        <x:v>8507.6000</x:v>
      </x:c>
      <x:c r="D51" s="88" t="str">
        <x:v>8位</x:v>
      </x:c>
      <x:c r="E51" s="88" t="str">
        <x:v>85076000</x:v>
      </x:c>
      <x:c r="F51" s="87" t="n">
        <x:v>3</x:v>
      </x:c>
      <x:c r="G51" s="87" t="str">
        <x:v>多候选</x:v>
      </x:c>
      <x:c r="H51" s="88" t="str"/>
      <x:c r="I51" s="88" t="str">
        <x:v>8507600020；8507600030；8507600090</x:v>
      </x:c>
      <x:c r="J51" s="87" t="str">
        <x:v>8507600020 纯电动汽车或插电式混合动力汽车用锂离子蓄电池系统；8507600030 飞机用锂离子蓄电池；8507600090 其他锂离子蓄电池</x:v>
      </x:c>
    </x:row>
    <x:row r="52" ht="38" customHeight="1">
      <x:c r="A52" s="87" t="str">
        <x:v>Z2023-0026</x:v>
      </x:c>
      <x:c r="B52" s="87" t="str">
        <x:v>马基路斯智能云梯车</x:v>
      </x:c>
      <x:c r="C52" s="88" t="str">
        <x:v>8705.9099</x:v>
      </x:c>
      <x:c r="D52" s="88" t="str">
        <x:v>8位</x:v>
      </x:c>
      <x:c r="E52" s="88" t="str">
        <x:v>87059099</x:v>
      </x:c>
      <x:c r="F52" s="87" t="n">
        <x:v>2</x:v>
      </x:c>
      <x:c r="G52" s="87" t="str">
        <x:v>多候选</x:v>
      </x:c>
      <x:c r="H52" s="88" t="str"/>
      <x:c r="I52" s="88" t="str">
        <x:v>8705909930；8705909990</x:v>
      </x:c>
      <x:c r="J52" s="87" t="str">
        <x:v>8705909930 用于导弹、火箭等的车辆；8705909990 其他特殊用途的机动车辆</x:v>
      </x:c>
    </x:row>
    <x:row r="53" ht="38" customHeight="1">
      <x:c r="A53" s="87" t="str">
        <x:v>Z2023-0027</x:v>
      </x:c>
      <x:c r="B53" s="87" t="str">
        <x:v>改装沙漠续油车</x:v>
      </x:c>
      <x:c r="C53" s="88" t="str">
        <x:v>8705.9099</x:v>
      </x:c>
      <x:c r="D53" s="88" t="str">
        <x:v>8位</x:v>
      </x:c>
      <x:c r="E53" s="88" t="str">
        <x:v>87059099</x:v>
      </x:c>
      <x:c r="F53" s="87" t="n">
        <x:v>2</x:v>
      </x:c>
      <x:c r="G53" s="87" t="str">
        <x:v>多候选</x:v>
      </x:c>
      <x:c r="H53" s="88" t="str"/>
      <x:c r="I53" s="88" t="str">
        <x:v>8705909930；8705909990</x:v>
      </x:c>
      <x:c r="J53" s="87" t="str">
        <x:v>8705909930 用于导弹、火箭等的车辆；8705909990 其他特殊用途的机动车辆</x:v>
      </x:c>
    </x:row>
    <x:row r="54" ht="38" customHeight="1">
      <x:c r="A54" s="87" t="str">
        <x:v>Z2023-0028</x:v>
      </x:c>
      <x:c r="B54" s="87" t="str">
        <x:v>电视转播车</x:v>
      </x:c>
      <x:c r="C54" s="88" t="str">
        <x:v>8705.9099</x:v>
      </x:c>
      <x:c r="D54" s="88" t="str">
        <x:v>8位</x:v>
      </x:c>
      <x:c r="E54" s="88" t="str">
        <x:v>87059099</x:v>
      </x:c>
      <x:c r="F54" s="87" t="n">
        <x:v>2</x:v>
      </x:c>
      <x:c r="G54" s="87" t="str">
        <x:v>多候选</x:v>
      </x:c>
      <x:c r="H54" s="88" t="str"/>
      <x:c r="I54" s="88" t="str">
        <x:v>8705909930；8705909990</x:v>
      </x:c>
      <x:c r="J54" s="87" t="str">
        <x:v>8705909930 用于导弹、火箭等的车辆；8705909990 其他特殊用途的机动车辆</x:v>
      </x:c>
    </x:row>
    <x:row r="55" ht="38" customHeight="1">
      <x:c r="A55" s="87" t="str">
        <x:v>Z2023-0029</x:v>
      </x:c>
      <x:c r="B55" s="87" t="str">
        <x:v>清扫车</x:v>
      </x:c>
      <x:c r="C55" s="88" t="str">
        <x:v>8705.9099</x:v>
      </x:c>
      <x:c r="D55" s="88" t="str">
        <x:v>8位</x:v>
      </x:c>
      <x:c r="E55" s="88" t="str">
        <x:v>87059099</x:v>
      </x:c>
      <x:c r="F55" s="87" t="n">
        <x:v>2</x:v>
      </x:c>
      <x:c r="G55" s="87" t="str">
        <x:v>多候选</x:v>
      </x:c>
      <x:c r="H55" s="88" t="str"/>
      <x:c r="I55" s="88" t="str">
        <x:v>8705909930；8705909990</x:v>
      </x:c>
      <x:c r="J55" s="87" t="str">
        <x:v>8705909930 用于导弹、火箭等的车辆；8705909990 其他特殊用途的机动车辆</x:v>
      </x:c>
    </x:row>
    <x:row r="56" ht="38" customHeight="1">
      <x:c r="A56" s="87" t="str">
        <x:v>Z2023-0030</x:v>
      </x:c>
      <x:c r="B56" s="87" t="str">
        <x:v>交通管理车</x:v>
      </x:c>
      <x:c r="C56" s="88" t="str">
        <x:v>8705.9099</x:v>
      </x:c>
      <x:c r="D56" s="88" t="str">
        <x:v>8位</x:v>
      </x:c>
      <x:c r="E56" s="88" t="str">
        <x:v>87059099</x:v>
      </x:c>
      <x:c r="F56" s="87" t="n">
        <x:v>2</x:v>
      </x:c>
      <x:c r="G56" s="87" t="str">
        <x:v>多候选</x:v>
      </x:c>
      <x:c r="H56" s="88" t="str"/>
      <x:c r="I56" s="88" t="str">
        <x:v>8705909930；8705909990</x:v>
      </x:c>
      <x:c r="J56" s="87" t="str">
        <x:v>8705909930 用于导弹、火箭等的车辆；8705909990 其他特殊用途的机动车辆</x:v>
      </x:c>
    </x:row>
    <x:row r="57" ht="38" customHeight="1">
      <x:c r="A57" s="87" t="str">
        <x:v>Z2023-0031</x:v>
      </x:c>
      <x:c r="B57" s="87" t="str">
        <x:v>DIGTEC2000型燃气巡检车</x:v>
      </x:c>
      <x:c r="C57" s="88" t="str">
        <x:v>8705.9099</x:v>
      </x:c>
      <x:c r="D57" s="88" t="str">
        <x:v>8位</x:v>
      </x:c>
      <x:c r="E57" s="88" t="str">
        <x:v>87059099</x:v>
      </x:c>
      <x:c r="F57" s="87" t="n">
        <x:v>2</x:v>
      </x:c>
      <x:c r="G57" s="87" t="str">
        <x:v>多候选</x:v>
      </x:c>
      <x:c r="H57" s="88" t="str"/>
      <x:c r="I57" s="88" t="str">
        <x:v>8705909930；8705909990</x:v>
      </x:c>
      <x:c r="J57" s="87" t="str">
        <x:v>8705909930 用于导弹、火箭等的车辆；8705909990 其他特殊用途的机动车辆</x:v>
      </x:c>
    </x:row>
    <x:row r="58" ht="38" customHeight="1">
      <x:c r="A58" s="87" t="str">
        <x:v>Z2023-0032</x:v>
      </x:c>
      <x:c r="B58" s="87" t="str">
        <x:v>文件销密特种车</x:v>
      </x:c>
      <x:c r="C58" s="88" t="str">
        <x:v>8705.9099</x:v>
      </x:c>
      <x:c r="D58" s="88" t="str">
        <x:v>8位</x:v>
      </x:c>
      <x:c r="E58" s="88" t="str">
        <x:v>87059099</x:v>
      </x:c>
      <x:c r="F58" s="87" t="n">
        <x:v>2</x:v>
      </x:c>
      <x:c r="G58" s="87" t="str">
        <x:v>多候选</x:v>
      </x:c>
      <x:c r="H58" s="88" t="str"/>
      <x:c r="I58" s="88" t="str">
        <x:v>8705909930；8705909990</x:v>
      </x:c>
      <x:c r="J58" s="87" t="str">
        <x:v>8705909930 用于导弹、火箭等的车辆；8705909990 其他特殊用途的机动车辆</x:v>
      </x:c>
    </x:row>
    <x:row r="59" ht="38" customHeight="1">
      <x:c r="A59" s="87" t="str">
        <x:v>Z2023-0033</x:v>
      </x:c>
      <x:c r="B59" s="87" t="str">
        <x:v>高速路面检测车</x:v>
      </x:c>
      <x:c r="C59" s="88" t="str">
        <x:v>8705.9099</x:v>
      </x:c>
      <x:c r="D59" s="88" t="str">
        <x:v>8位</x:v>
      </x:c>
      <x:c r="E59" s="88" t="str">
        <x:v>87059099</x:v>
      </x:c>
      <x:c r="F59" s="87" t="n">
        <x:v>2</x:v>
      </x:c>
      <x:c r="G59" s="87" t="str">
        <x:v>多候选</x:v>
      </x:c>
      <x:c r="H59" s="88" t="str"/>
      <x:c r="I59" s="88" t="str">
        <x:v>8705909930；8705909990</x:v>
      </x:c>
      <x:c r="J59" s="87" t="str">
        <x:v>8705909930 用于导弹、火箭等的车辆；8705909990 其他特殊用途的机动车辆</x:v>
      </x:c>
    </x:row>
    <x:row r="60" ht="38" customHeight="1">
      <x:c r="A60" s="87" t="str">
        <x:v>Z2023-0034</x:v>
      </x:c>
      <x:c r="B60" s="87" t="str">
        <x:v>犯罪现场物证快速检测车</x:v>
      </x:c>
      <x:c r="C60" s="88" t="str">
        <x:v>8705.9099</x:v>
      </x:c>
      <x:c r="D60" s="88" t="str">
        <x:v>8位</x:v>
      </x:c>
      <x:c r="E60" s="88" t="str">
        <x:v>87059099</x:v>
      </x:c>
      <x:c r="F60" s="87" t="n">
        <x:v>2</x:v>
      </x:c>
      <x:c r="G60" s="87" t="str">
        <x:v>多候选</x:v>
      </x:c>
      <x:c r="H60" s="88" t="str"/>
      <x:c r="I60" s="88" t="str">
        <x:v>8705909930；8705909990</x:v>
      </x:c>
      <x:c r="J60" s="87" t="str">
        <x:v>8705909930 用于导弹、火箭等的车辆；8705909990 其他特殊用途的机动车辆</x:v>
      </x:c>
    </x:row>
    <x:row r="61" ht="38" customHeight="1">
      <x:c r="A61" s="87" t="str">
        <x:v>Z2023-0035</x:v>
      </x:c>
      <x:c r="B61" s="87" t="str">
        <x:v>照明排烟车</x:v>
      </x:c>
      <x:c r="C61" s="88" t="str">
        <x:v>8705.9099</x:v>
      </x:c>
      <x:c r="D61" s="88" t="str">
        <x:v>8位</x:v>
      </x:c>
      <x:c r="E61" s="88" t="str">
        <x:v>87059099</x:v>
      </x:c>
      <x:c r="F61" s="87" t="n">
        <x:v>2</x:v>
      </x:c>
      <x:c r="G61" s="87" t="str">
        <x:v>多候选</x:v>
      </x:c>
      <x:c r="H61" s="88" t="str"/>
      <x:c r="I61" s="88" t="str">
        <x:v>8705909930；8705909990</x:v>
      </x:c>
      <x:c r="J61" s="87" t="str">
        <x:v>8705909930 用于导弹、火箭等的车辆；8705909990 其他特殊用途的机动车辆</x:v>
      </x:c>
    </x:row>
    <x:row r="62" ht="38" customHeight="1">
      <x:c r="A62" s="87" t="str">
        <x:v>Z2023-0036</x:v>
      </x:c>
      <x:c r="B62" s="87" t="str">
        <x:v>阿迪戈2148cc高空作业车</x:v>
      </x:c>
      <x:c r="C62" s="88" t="str">
        <x:v>8705.9099</x:v>
      </x:c>
      <x:c r="D62" s="88" t="str">
        <x:v>8位</x:v>
      </x:c>
      <x:c r="E62" s="88" t="str">
        <x:v>87059099</x:v>
      </x:c>
      <x:c r="F62" s="87" t="n">
        <x:v>2</x:v>
      </x:c>
      <x:c r="G62" s="87" t="str">
        <x:v>多候选</x:v>
      </x:c>
      <x:c r="H62" s="88" t="str"/>
      <x:c r="I62" s="88" t="str">
        <x:v>8705909930；8705909990</x:v>
      </x:c>
      <x:c r="J62" s="87" t="str">
        <x:v>8705909930 用于导弹、火箭等的车辆；8705909990 其他特殊用途的机动车辆</x:v>
      </x:c>
    </x:row>
    <x:row r="63" ht="38" customHeight="1">
      <x:c r="A63" s="87" t="str">
        <x:v>Z2023-0037</x:v>
      </x:c>
      <x:c r="B63" s="87" t="str">
        <x:v>现场测光车</x:v>
      </x:c>
      <x:c r="C63" s="88" t="str">
        <x:v>8705.9099</x:v>
      </x:c>
      <x:c r="D63" s="88" t="str">
        <x:v>8位</x:v>
      </x:c>
      <x:c r="E63" s="88" t="str">
        <x:v>87059099</x:v>
      </x:c>
      <x:c r="F63" s="87" t="n">
        <x:v>2</x:v>
      </x:c>
      <x:c r="G63" s="87" t="str">
        <x:v>多候选</x:v>
      </x:c>
      <x:c r="H63" s="88" t="str"/>
      <x:c r="I63" s="88" t="str">
        <x:v>8705909930；8705909990</x:v>
      </x:c>
      <x:c r="J63" s="87" t="str">
        <x:v>8705909930 用于导弹、火箭等的车辆；8705909990 其他特殊用途的机动车辆</x:v>
      </x:c>
    </x:row>
    <x:row r="64" ht="38" customHeight="1">
      <x:c r="A64" s="87" t="str">
        <x:v>Z2023-0038</x:v>
      </x:c>
      <x:c r="B64" s="87" t="str">
        <x:v>管汇车</x:v>
      </x:c>
      <x:c r="C64" s="88" t="str">
        <x:v>8705.9099</x:v>
      </x:c>
      <x:c r="D64" s="88" t="str">
        <x:v>8位</x:v>
      </x:c>
      <x:c r="E64" s="88" t="str">
        <x:v>87059099</x:v>
      </x:c>
      <x:c r="F64" s="87" t="n">
        <x:v>2</x:v>
      </x:c>
      <x:c r="G64" s="87" t="str">
        <x:v>多候选</x:v>
      </x:c>
      <x:c r="H64" s="88" t="str"/>
      <x:c r="I64" s="88" t="str">
        <x:v>8705909930；8705909990</x:v>
      </x:c>
      <x:c r="J64" s="87" t="str">
        <x:v>8705909930 用于导弹、火箭等的车辆；8705909990 其他特殊用途的机动车辆</x:v>
      </x:c>
    </x:row>
    <x:row r="65" ht="38" customHeight="1">
      <x:c r="A65" s="87" t="str">
        <x:v>Z2023-0039</x:v>
      </x:c>
      <x:c r="B65" s="87" t="str">
        <x:v>单向离合器</x:v>
      </x:c>
      <x:c r="C65" s="88" t="str">
        <x:v>8714.1000</x:v>
      </x:c>
      <x:c r="D65" s="88" t="str">
        <x:v>8位</x:v>
      </x:c>
      <x:c r="E65" s="88" t="str">
        <x:v>87141000</x:v>
      </x:c>
      <x:c r="F65" s="87" t="n">
        <x:v>2</x:v>
      </x:c>
      <x:c r="G65" s="87" t="str">
        <x:v>多候选</x:v>
      </x:c>
      <x:c r="H65" s="88" t="str"/>
      <x:c r="I65" s="88" t="str">
        <x:v>8714100010；8714100090</x:v>
      </x:c>
      <x:c r="J65" s="87" t="str">
        <x:v>8714100010 摩托车架；8714100090 摩托车其他零件、附件</x:v>
      </x:c>
    </x:row>
    <x:row r="66" ht="38" customHeight="1">
      <x:c r="A66" s="87" t="str">
        <x:v>Z2023-0040</x:v>
      </x:c>
      <x:c r="B66" s="87" t="str">
        <x:v>波分复用器膜片</x:v>
      </x:c>
      <x:c r="C66" s="88" t="str">
        <x:v>9001.9090</x:v>
      </x:c>
      <x:c r="D66" s="88" t="str">
        <x:v>8位</x:v>
      </x:c>
      <x:c r="E66" s="88" t="str">
        <x:v>90019090</x:v>
      </x:c>
      <x:c r="F66" s="87" t="n">
        <x:v>2</x:v>
      </x:c>
      <x:c r="G66" s="87" t="str">
        <x:v>多候选</x:v>
      </x:c>
      <x:c r="H66" s="88" t="str"/>
      <x:c r="I66" s="88" t="str">
        <x:v>9001909070；9001909090</x:v>
      </x:c>
      <x:c r="J66" s="87" t="str">
        <x:v>9001909070 未装配的锗金属制光学镜片；9001909090 品目9001未列名的其他光学元件</x:v>
      </x:c>
    </x:row>
    <x:row r="67" ht="38" customHeight="1">
      <x:c r="A67" s="87" t="str">
        <x:v>Z2023-0041</x:v>
      </x:c>
      <x:c r="B67" s="87" t="str">
        <x:v>三硼酸锂晶体</x:v>
      </x:c>
      <x:c r="C67" s="88" t="str">
        <x:v>9001.9090</x:v>
      </x:c>
      <x:c r="D67" s="88" t="str">
        <x:v>8位</x:v>
      </x:c>
      <x:c r="E67" s="88" t="str">
        <x:v>90019090</x:v>
      </x:c>
      <x:c r="F67" s="87" t="n">
        <x:v>2</x:v>
      </x:c>
      <x:c r="G67" s="87" t="str">
        <x:v>多候选</x:v>
      </x:c>
      <x:c r="H67" s="88" t="str"/>
      <x:c r="I67" s="88" t="str">
        <x:v>9001909070；9001909090</x:v>
      </x:c>
      <x:c r="J67" s="87" t="str">
        <x:v>9001909070 未装配的锗金属制光学镜片；9001909090 品目9001未列名的其他光学元件</x:v>
      </x:c>
    </x:row>
    <x:row r="68" ht="38" customHeight="1">
      <x:c r="A68" s="87" t="str">
        <x:v>Z2023-0042</x:v>
      </x:c>
      <x:c r="B68" s="87" t="str">
        <x:v>屏幕透镜</x:v>
      </x:c>
      <x:c r="C68" s="88" t="str">
        <x:v>9001.9090</x:v>
      </x:c>
      <x:c r="D68" s="88" t="str">
        <x:v>8位</x:v>
      </x:c>
      <x:c r="E68" s="88" t="str">
        <x:v>90019090</x:v>
      </x:c>
      <x:c r="F68" s="87" t="n">
        <x:v>2</x:v>
      </x:c>
      <x:c r="G68" s="87" t="str">
        <x:v>多候选</x:v>
      </x:c>
      <x:c r="H68" s="88" t="str"/>
      <x:c r="I68" s="88" t="str">
        <x:v>9001909070；9001909090</x:v>
      </x:c>
      <x:c r="J68" s="87" t="str">
        <x:v>9001909070 未装配的锗金属制光学镜片；9001909090 品目9001未列名的其他光学元件</x:v>
      </x:c>
    </x:row>
    <x:row r="69" ht="38" customHeight="1">
      <x:c r="A69" s="87" t="str">
        <x:v>Z2023-0043</x:v>
      </x:c>
      <x:c r="B69" s="87" t="str">
        <x:v>预灌封注射器推杆</x:v>
      </x:c>
      <x:c r="C69" s="88" t="str">
        <x:v>9018.3100</x:v>
      </x:c>
      <x:c r="D69" s="88" t="str">
        <x:v>8位</x:v>
      </x:c>
      <x:c r="E69" s="88" t="str">
        <x:v>90183100</x:v>
      </x:c>
      <x:c r="F69" s="87" t="n">
        <x:v>1</x:v>
      </x:c>
      <x:c r="G69" s="87" t="str">
        <x:v>唯一现行候选</x:v>
      </x:c>
      <x:c r="H69" s="88" t="str">
        <x:v>9018310000</x:v>
      </x:c>
      <x:c r="I69" s="88" t="str">
        <x:v>9018310000</x:v>
      </x:c>
      <x:c r="J69" s="87" t="str">
        <x:v>9018310000 注射器</x:v>
      </x:c>
    </x:row>
    <x:row r="70" ht="38" customHeight="1">
      <x:c r="A70" s="87" t="str">
        <x:v>Z2023-0044</x:v>
      </x:c>
      <x:c r="B70" s="87" t="str">
        <x:v>模拟射击设备</x:v>
      </x:c>
      <x:c r="C70" s="88" t="str">
        <x:v>9023.0090</x:v>
      </x:c>
      <x:c r="D70" s="88" t="str">
        <x:v>8位</x:v>
      </x:c>
      <x:c r="E70" s="88" t="str">
        <x:v>90230090</x:v>
      </x:c>
      <x:c r="F70" s="87" t="n">
        <x:v>1</x:v>
      </x:c>
      <x:c r="G70" s="87" t="str">
        <x:v>唯一现行候选</x:v>
      </x:c>
      <x:c r="H70" s="88" t="str">
        <x:v>9023009000</x:v>
      </x:c>
      <x:c r="I70" s="88" t="str">
        <x:v>9023009000</x:v>
      </x:c>
      <x:c r="J70" s="87" t="str">
        <x:v>9023009000 其他专供示范的仪器、装置及模型</x:v>
      </x:c>
    </x:row>
    <x:row r="71" ht="38" customHeight="1">
      <x:c r="A71" s="87" t="str">
        <x:v>Z2023-0045</x:v>
      </x:c>
      <x:c r="B71" s="87" t="str">
        <x:v>旧恐龙模型</x:v>
      </x:c>
      <x:c r="C71" s="88" t="str">
        <x:v>9023.0090</x:v>
      </x:c>
      <x:c r="D71" s="88" t="str">
        <x:v>8位</x:v>
      </x:c>
      <x:c r="E71" s="88" t="str">
        <x:v>90230090</x:v>
      </x:c>
      <x:c r="F71" s="87" t="n">
        <x:v>1</x:v>
      </x:c>
      <x:c r="G71" s="87" t="str">
        <x:v>唯一现行候选</x:v>
      </x:c>
      <x:c r="H71" s="88" t="str">
        <x:v>9023009000</x:v>
      </x:c>
      <x:c r="I71" s="88" t="str">
        <x:v>9023009000</x:v>
      </x:c>
      <x:c r="J71" s="87" t="str">
        <x:v>9023009000 其他专供示范的仪器、装置及模型</x:v>
      </x:c>
    </x:row>
    <x:row r="72" ht="38" customHeight="1">
      <x:c r="A72" s="87" t="str">
        <x:v>Z2023-0046</x:v>
      </x:c>
      <x:c r="B72" s="87" t="str">
        <x:v>交互式急救模拟系统</x:v>
      </x:c>
      <x:c r="C72" s="88" t="str">
        <x:v>9023.0090</x:v>
      </x:c>
      <x:c r="D72" s="88" t="str">
        <x:v>8位</x:v>
      </x:c>
      <x:c r="E72" s="88" t="str">
        <x:v>90230090</x:v>
      </x:c>
      <x:c r="F72" s="87" t="n">
        <x:v>1</x:v>
      </x:c>
      <x:c r="G72" s="87" t="str">
        <x:v>唯一现行候选</x:v>
      </x:c>
      <x:c r="H72" s="88" t="str">
        <x:v>9023009000</x:v>
      </x:c>
      <x:c r="I72" s="88" t="str">
        <x:v>9023009000</x:v>
      </x:c>
      <x:c r="J72" s="87" t="str">
        <x:v>9023009000 其他专供示范的仪器、装置及模型</x:v>
      </x:c>
    </x:row>
    <x:row r="73" ht="38" customHeight="1">
      <x:c r="A73" s="87" t="str">
        <x:v>Z2023-0047</x:v>
      </x:c>
      <x:c r="B73" s="87" t="str">
        <x:v>刀具检测器</x:v>
      </x:c>
      <x:c r="C73" s="88" t="str">
        <x:v>9031.4990</x:v>
      </x:c>
      <x:c r="D73" s="88" t="str">
        <x:v>8位</x:v>
      </x:c>
      <x:c r="E73" s="88" t="str">
        <x:v>90314990</x:v>
      </x:c>
      <x:c r="F73" s="87" t="n">
        <x:v>1</x:v>
      </x:c>
      <x:c r="G73" s="87" t="str">
        <x:v>唯一现行候选</x:v>
      </x:c>
      <x:c r="H73" s="88" t="str">
        <x:v>9031499000</x:v>
      </x:c>
      <x:c r="I73" s="88" t="str">
        <x:v>9031499000</x:v>
      </x:c>
      <x:c r="J73" s="87" t="str">
        <x:v>9031499000 其他光学测量或检验仪器和器具</x:v>
      </x:c>
    </x:row>
    <x:row r="74" ht="38" customHeight="1">
      <x:c r="A74" s="87" t="str">
        <x:v>Z2023-0048</x:v>
      </x:c>
      <x:c r="B74" s="87" t="str">
        <x:v>自动光轴机</x:v>
      </x:c>
      <x:c r="C74" s="88" t="str">
        <x:v>9031.4990</x:v>
      </x:c>
      <x:c r="D74" s="88" t="str">
        <x:v>8位</x:v>
      </x:c>
      <x:c r="E74" s="88" t="str">
        <x:v>90314990</x:v>
      </x:c>
      <x:c r="F74" s="87" t="n">
        <x:v>1</x:v>
      </x:c>
      <x:c r="G74" s="87" t="str">
        <x:v>唯一现行候选</x:v>
      </x:c>
      <x:c r="H74" s="88" t="str">
        <x:v>9031499000</x:v>
      </x:c>
      <x:c r="I74" s="88" t="str">
        <x:v>9031499000</x:v>
      </x:c>
      <x:c r="J74" s="87" t="str">
        <x:v>9031499000 其他光学测量或检验仪器和器具</x:v>
      </x:c>
    </x:row>
    <x:row r="75" ht="38" customHeight="1">
      <x:c r="A75" s="87" t="str">
        <x:v>Z2023-0049</x:v>
      </x:c>
      <x:c r="B75" s="87" t="str">
        <x:v>汽车上的电子控制单元</x:v>
      </x:c>
      <x:c r="C75" s="88" t="str">
        <x:v>9032.8990</x:v>
      </x:c>
      <x:c r="D75" s="88" t="str">
        <x:v>8位</x:v>
      </x:c>
      <x:c r="E75" s="88" t="str">
        <x:v>90328990</x:v>
      </x:c>
      <x:c r="F75" s="87" t="n">
        <x:v>12</x:v>
      </x:c>
      <x:c r="G75" s="87" t="str">
        <x:v>多候选</x:v>
      </x:c>
      <x:c r="H75" s="88" t="str"/>
      <x:c r="I75" s="88" t="str">
        <x:v>9032899010；9032899020；9032899030；9032899040；9032899050；9032899060；9032899070；9032899091；9032899092；9032899093；9032899094；9032899099</x:v>
      </x:c>
      <x:c r="J75" s="87" t="str">
        <x:v>9032899010 具有可再生能源和智能电网应用的自动电压和电流调节器；非液压或气压的自动调控流量、液位和湿度的仪器；9032899020 超燃冲压喷气或组合循环发动机的燃烧调节装置；9032899030 三坐标测量机用自动控制柜；9032899040 飞机自动驾驶系统；9032899050 机床用成套数控伺服装置；9032899060 电喷点火程序控制单元；9032899070 印刷机用成套数控伺服传动装置；9032899091 发动机气门正时控制（VTC）模块；9032899092 出口管制的高压水炮操控系统；9032899093 光刻机用电机控制器；9032899094 六面顶压机专用关键零部件，合成压力大于5千兆帕的高压控制系统；9032899099 其他自动调节或控制仪器及装置</x:v>
      </x:c>
    </x:row>
    <x:row r="76" ht="38" customHeight="1">
      <x:c r="A76" s="87" t="str">
        <x:v>Z2023-0050</x:v>
      </x:c>
      <x:c r="B76" s="87" t="str">
        <x:v>励磁设备</x:v>
      </x:c>
      <x:c r="C76" s="88" t="str">
        <x:v>9032.8990</x:v>
      </x:c>
      <x:c r="D76" s="88" t="str">
        <x:v>8位</x:v>
      </x:c>
      <x:c r="E76" s="88" t="str">
        <x:v>90328990</x:v>
      </x:c>
      <x:c r="F76" s="87" t="n">
        <x:v>12</x:v>
      </x:c>
      <x:c r="G76" s="87" t="str">
        <x:v>多候选</x:v>
      </x:c>
      <x:c r="H76" s="88" t="str"/>
      <x:c r="I76" s="88" t="str">
        <x:v>9032899010；9032899020；9032899030；9032899040；9032899050；9032899060；9032899070；9032899091；9032899092；9032899093；9032899094；9032899099</x:v>
      </x:c>
      <x:c r="J76" s="87" t="str">
        <x:v>9032899010 具有可再生能源和智能电网应用的自动电压和电流调节器；非液压或气压的自动调控流量、液位和湿度的仪器；9032899020 超燃冲压喷气或组合循环发动机的燃烧调节装置；9032899030 三坐标测量机用自动控制柜；9032899040 飞机自动驾驶系统；9032899050 机床用成套数控伺服装置；9032899060 电喷点火程序控制单元；9032899070 印刷机用成套数控伺服传动装置；9032899091 发动机气门正时控制（VTC）模块；9032899092 出口管制的高压水炮操控系统；9032899093 光刻机用电机控制器；9032899094 六面顶压机专用关键零部件，合成压力大于5千兆帕的高压控制系统；9032899099 其他自动调节或控制仪器及装置</x:v>
      </x:c>
    </x:row>
    <x:row r="77" ht="38" customHeight="1">
      <x:c r="A77" s="87" t="str">
        <x:v>Z2023-0051</x:v>
      </x:c>
      <x:c r="B77" s="87" t="str">
        <x:v>提升机电控系统</x:v>
      </x:c>
      <x:c r="C77" s="88" t="str">
        <x:v>9032.8990</x:v>
      </x:c>
      <x:c r="D77" s="88" t="str">
        <x:v>8位</x:v>
      </x:c>
      <x:c r="E77" s="88" t="str">
        <x:v>90328990</x:v>
      </x:c>
      <x:c r="F77" s="87" t="n">
        <x:v>12</x:v>
      </x:c>
      <x:c r="G77" s="87" t="str">
        <x:v>多候选</x:v>
      </x:c>
      <x:c r="H77" s="88" t="str"/>
      <x:c r="I77" s="88" t="str">
        <x:v>9032899010；9032899020；9032899030；9032899040；9032899050；9032899060；9032899070；9032899091；9032899092；9032899093；9032899094；9032899099</x:v>
      </x:c>
      <x:c r="J77" s="87" t="str">
        <x:v>9032899010 具有可再生能源和智能电网应用的自动电压和电流调节器；非液压或气压的自动调控流量、液位和湿度的仪器；9032899020 超燃冲压喷气或组合循环发动机的燃烧调节装置；9032899030 三坐标测量机用自动控制柜；9032899040 飞机自动驾驶系统；9032899050 机床用成套数控伺服装置；9032899060 电喷点火程序控制单元；9032899070 印刷机用成套数控伺服传动装置；9032899091 发动机气门正时控制（VTC）模块；9032899092 出口管制的高压水炮操控系统；9032899093 光刻机用电机控制器；9032899094 六面顶压机专用关键零部件，合成压力大于5千兆帕的高压控制系统；9032899099 其他自动调节或控制仪器及装置</x:v>
      </x:c>
    </x:row>
    <x:row r="78" ht="38" customHeight="1">
      <x:c r="A78" s="87" t="str">
        <x:v>Z2024-0008</x:v>
      </x:c>
      <x:c r="B78" s="87" t="str">
        <x:v>脱水苹果粒</x:v>
      </x:c>
      <x:c r="C78" s="88" t="str">
        <x:v>0813.3000</x:v>
      </x:c>
      <x:c r="D78" s="88" t="str">
        <x:v>8位</x:v>
      </x:c>
      <x:c r="E78" s="88" t="str">
        <x:v>08133000</x:v>
      </x:c>
      <x:c r="F78" s="87" t="n">
        <x:v>1</x:v>
      </x:c>
      <x:c r="G78" s="87" t="str">
        <x:v>唯一现行候选</x:v>
      </x:c>
      <x:c r="H78" s="88" t="str">
        <x:v>0813300000</x:v>
      </x:c>
      <x:c r="I78" s="88" t="str">
        <x:v>0813300000</x:v>
      </x:c>
      <x:c r="J78" s="87" t="str">
        <x:v>0813300000 苹果干</x:v>
      </x:c>
    </x:row>
    <x:row r="79" ht="38" customHeight="1">
      <x:c r="A79" s="87" t="str">
        <x:v>Z2024-0009</x:v>
      </x:c>
      <x:c r="B79" s="87" t="str">
        <x:v>烘烤脱荚绿豆</x:v>
      </x:c>
      <x:c r="C79" s="88" t="str">
        <x:v>2005.5199</x:v>
      </x:c>
      <x:c r="D79" s="88" t="str">
        <x:v>8位</x:v>
      </x:c>
      <x:c r="E79" s="88" t="str">
        <x:v>20055199</x:v>
      </x:c>
      <x:c r="F79" s="87" t="n">
        <x:v>1</x:v>
      </x:c>
      <x:c r="G79" s="87" t="str">
        <x:v>唯一现行候选</x:v>
      </x:c>
      <x:c r="H79" s="88" t="str">
        <x:v>2005519900</x:v>
      </x:c>
      <x:c r="I79" s="88" t="str">
        <x:v>2005519900</x:v>
      </x:c>
      <x:c r="J79" s="87" t="str">
        <x:v>2005519900 非用醋制作的其他脱荚豇豆及菜豆,罐头除外</x:v>
      </x:c>
    </x:row>
    <x:row r="80" ht="38" customHeight="1">
      <x:c r="A80" s="87" t="str">
        <x:v>Z2024-0010</x:v>
      </x:c>
      <x:c r="B80" s="87" t="str">
        <x:v>醋精</x:v>
      </x:c>
      <x:c r="C80" s="88" t="str">
        <x:v>2106.9090</x:v>
      </x:c>
      <x:c r="D80" s="88" t="str">
        <x:v>8位</x:v>
      </x:c>
      <x:c r="E80" s="88" t="str">
        <x:v>21069090</x:v>
      </x:c>
      <x:c r="F80" s="87" t="n">
        <x:v>4</x:v>
      </x:c>
      <x:c r="G80" s="87" t="str">
        <x:v>多候选</x:v>
      </x:c>
      <x:c r="H80" s="88" t="str"/>
      <x:c r="I80" s="88" t="str">
        <x:v>2106909001；2106909011；2106909019；2106909090</x:v>
      </x:c>
      <x:c r="J80" s="87" t="str">
        <x:v>2106909001 非乳基特殊医学用途婴儿配方食品、非乳基特殊医学用途配方食品；2106909011 含濒危鱼软骨素胶囊；2106909019 含濒危动植物成份的其他编号未列名食品；2106909090 其他编号未列名的食品</x:v>
      </x:c>
    </x:row>
    <x:row r="81" ht="38" customHeight="1">
      <x:c r="A81" s="87" t="str">
        <x:v>Z2024-0011</x:v>
      </x:c>
      <x:c r="B81" s="87" t="str">
        <x:v>预烧制牙科用氧化锆块</x:v>
      </x:c>
      <x:c r="C81" s="88" t="str">
        <x:v>6914.9000</x:v>
      </x:c>
      <x:c r="D81" s="88" t="str">
        <x:v>8位</x:v>
      </x:c>
      <x:c r="E81" s="88" t="str">
        <x:v>69149000</x:v>
      </x:c>
      <x:c r="F81" s="87" t="n">
        <x:v>1</x:v>
      </x:c>
      <x:c r="G81" s="87" t="str">
        <x:v>唯一现行候选</x:v>
      </x:c>
      <x:c r="H81" s="88" t="str">
        <x:v>6914900000</x:v>
      </x:c>
      <x:c r="I81" s="88" t="str">
        <x:v>6914900000</x:v>
      </x:c>
      <x:c r="J81" s="87" t="str">
        <x:v>6914900000 其他陶制品</x:v>
      </x:c>
    </x:row>
    <x:row r="82" ht="38" customHeight="1">
      <x:c r="A82" s="87" t="str">
        <x:v>Z2024-0012</x:v>
      </x:c>
      <x:c r="B82" s="87" t="str">
        <x:v>未烧制牙科用氧化锆块</x:v>
      </x:c>
      <x:c r="C82" s="88" t="str">
        <x:v>3824.9999</x:v>
      </x:c>
      <x:c r="D82" s="88" t="str">
        <x:v>8位</x:v>
      </x:c>
      <x:c r="E82" s="88" t="str">
        <x:v>38249999</x:v>
      </x:c>
      <x:c r="F82" s="87" t="n">
        <x:v>15</x:v>
      </x:c>
      <x:c r="G82" s="87" t="str">
        <x:v>多候选</x:v>
      </x:c>
      <x:c r="H82" s="88" t="str"/>
      <x:c r="I82" s="88" t="str">
        <x:v>3824999910；3824999921；3824999922；3824999923；3824999950；3824999960；3824999970；3824999980；3824999991；3824999992；3824999993；3824999994；3824999995；3824999996；3824999999</x:v>
      </x:c>
      <x:c r="J82" s="87" t="str">
        <x:v>3824999910 粗制碳化硅；3824999921 混胺（二甲胺和三乙胺混合物的水溶液  ）、膨胀石墨；3824999922 稀土金属钐、钆、铽、镝、镥、钪、钇及其合金的制品、含有这些稀土金属化合物的混合物；3824999923 仲钨酸铵、氧化钨、碳化钨与其他物项的简单混合物，碲锌镉靶材；3824999950 三乙醇胺混合物、甲基二乙醇胺混合物、环状膦酸酯A和环状膦酸酯B的混合物；3824999960 高钛渣；3824999970 核苷酸类食品添加剂；3824999980 按重量计氧化锌含量在50%及以上的混合物；3824999991 短链氯化石蜡（不具有人造蜡特性）；3824999992 用于生产聚酰胺的发酵液（含氨基酸、有机酸、有机胺、有机醇、核苷酸、多糖等）；3824999993 载金炭；3824999994 全氟辛酸的盐类和相关化合物（PFOA类）；3824999995 粗氢氧化镍钴；3824999996 锂离子电池用再生黑粉原料；3824999999 其他编号未列名的化工产品</x:v>
      </x:c>
    </x:row>
    <x:row r="83" ht="38" customHeight="1">
      <x:c r="A83" s="87" t="str">
        <x:v>Z2024-0013</x:v>
      </x:c>
      <x:c r="B83" s="87" t="str">
        <x:v>未烧制牙科用氧化锆块</x:v>
      </x:c>
      <x:c r="C83" s="88" t="str">
        <x:v>3824.9999</x:v>
      </x:c>
      <x:c r="D83" s="88" t="str">
        <x:v>8位</x:v>
      </x:c>
      <x:c r="E83" s="88" t="str">
        <x:v>38249999</x:v>
      </x:c>
      <x:c r="F83" s="87" t="n">
        <x:v>15</x:v>
      </x:c>
      <x:c r="G83" s="87" t="str">
        <x:v>多候选</x:v>
      </x:c>
      <x:c r="H83" s="88" t="str"/>
      <x:c r="I83" s="88" t="str">
        <x:v>3824999910；3824999921；3824999922；3824999923；3824999950；3824999960；3824999970；3824999980；3824999991；3824999992；3824999993；3824999994；3824999995；3824999996；3824999999</x:v>
      </x:c>
      <x:c r="J83" s="87" t="str">
        <x:v>3824999910 粗制碳化硅；3824999921 混胺（二甲胺和三乙胺混合物的水溶液  ）、膨胀石墨；3824999922 稀土金属钐、钆、铽、镝、镥、钪、钇及其合金的制品、含有这些稀土金属化合物的混合物；3824999923 仲钨酸铵、氧化钨、碳化钨与其他物项的简单混合物，碲锌镉靶材；3824999950 三乙醇胺混合物、甲基二乙醇胺混合物、环状膦酸酯A和环状膦酸酯B的混合物；3824999960 高钛渣；3824999970 核苷酸类食品添加剂；3824999980 按重量计氧化锌含量在50%及以上的混合物；3824999991 短链氯化石蜡（不具有人造蜡特性）；3824999992 用于生产聚酰胺的发酵液（含氨基酸、有机酸、有机胺、有机醇、核苷酸、多糖等）；3824999993 载金炭；3824999994 全氟辛酸的盐类和相关化合物（PFOA类）；3824999995 粗氢氧化镍钴；3824999996 锂离子电池用再生黑粉原料；3824999999 其他编号未列名的化工产品</x:v>
      </x:c>
    </x:row>
    <x:row r="84" ht="38" customHeight="1">
      <x:c r="A84" s="87" t="str">
        <x:v>Z2024-0014</x:v>
      </x:c>
      <x:c r="B84" s="87" t="str">
        <x:v>速度编码器</x:v>
      </x:c>
      <x:c r="C84" s="88" t="str">
        <x:v>8543.7099</x:v>
      </x:c>
      <x:c r="D84" s="88" t="str">
        <x:v>8位</x:v>
      </x:c>
      <x:c r="E84" s="88" t="str">
        <x:v>85437099</x:v>
      </x:c>
      <x:c r="F84" s="87" t="n">
        <x:v>7</x:v>
      </x:c>
      <x:c r="G84" s="87" t="str">
        <x:v>多候选</x:v>
      </x:c>
      <x:c r="H84" s="88" t="str"/>
      <x:c r="I84" s="88" t="str">
        <x:v>8543709910；8543709920；8543709930；8543709940；8543709950；8543709960；8543709990</x:v>
      </x:c>
      <x:c r="J84" s="87" t="str">
        <x:v>8543709910 飞行数据记录器、报告器；8543709920 无线广播电视用激励器；8543709930 模/数转换器；8543709940 质谱仪用的离子源；8543709950 密码机、密码卡、密钥管理产品（不包括数字电视智能卡、蓝牙模块、用于知识产权保护的加密狗）；8543709960 两用物项管制的民用反无人机系统专用电子干扰设备；8543709990 其他未列名的具有独立功能的电气设备及装置</x:v>
      </x:c>
    </x:row>
    <x:row r="85" ht="38" customHeight="1">
      <x:c r="A85" s="87" t="str">
        <x:v>Z2024-0015</x:v>
      </x:c>
      <x:c r="B85" s="87" t="str">
        <x:v>三轮自卸车</x:v>
      </x:c>
      <x:c r="C85" s="88" t="str">
        <x:v>8711.6000</x:v>
      </x:c>
      <x:c r="D85" s="88" t="str">
        <x:v>8位</x:v>
      </x:c>
      <x:c r="E85" s="88" t="str">
        <x:v>87116000</x:v>
      </x:c>
      <x:c r="F85" s="87" t="n">
        <x:v>1</x:v>
      </x:c>
      <x:c r="G85" s="87" t="str">
        <x:v>唯一现行候选</x:v>
      </x:c>
      <x:c r="H85" s="88" t="str">
        <x:v>8711600000</x:v>
      </x:c>
      <x:c r="I85" s="88" t="str">
        <x:v>8711600000</x:v>
      </x:c>
      <x:c r="J85" s="87" t="str">
        <x:v>8711600000 其他装有驱动电动机的摩托车</x:v>
      </x:c>
    </x:row>
    <x:row r="86" ht="38" customHeight="1">
      <x:c r="A86" s="87" t="str">
        <x:v>Z2024-0016</x:v>
      </x:c>
      <x:c r="B86" s="87" t="str">
        <x:v>涂敷机</x:v>
      </x:c>
      <x:c r="C86" s="88" t="str">
        <x:v>8424.8999</x:v>
      </x:c>
      <x:c r="D86" s="88" t="str">
        <x:v>8位</x:v>
      </x:c>
      <x:c r="E86" s="88" t="str">
        <x:v>84248999</x:v>
      </x:c>
      <x:c r="F86" s="87" t="n">
        <x:v>2</x:v>
      </x:c>
      <x:c r="G86" s="87" t="str">
        <x:v>多候选</x:v>
      </x:c>
      <x:c r="H86" s="88" t="str"/>
      <x:c r="I86" s="88" t="str">
        <x:v>8424899930；8424899990</x:v>
      </x:c>
      <x:c r="J86" s="87" t="str">
        <x:v>8424899930 分离喷嘴（由狭缝状、曲率半径极小的弯曲通道组成,内有分离楔尖 ）；出口管制的高压水炮；8424899990 其他用途的喷射、喷雾机械器具</x:v>
      </x:c>
    </x:row>
    <x:row r="87" ht="38" customHeight="1">
      <x:c r="A87" s="87" t="str">
        <x:v>Z2024-0017</x:v>
      </x:c>
      <x:c r="B87" s="87" t="str">
        <x:v>集成电路（含半导体器件）制造用自粘式圆形抛光垫</x:v>
      </x:c>
      <x:c r="C87" s="88" t="str">
        <x:v>8486.9099</x:v>
      </x:c>
      <x:c r="D87" s="88" t="str">
        <x:v>8位</x:v>
      </x:c>
      <x:c r="E87" s="88" t="str">
        <x:v>84869099</x:v>
      </x:c>
      <x:c r="F87" s="87" t="n">
        <x:v>2</x:v>
      </x:c>
      <x:c r="G87" s="87" t="str">
        <x:v>多候选</x:v>
      </x:c>
      <x:c r="H87" s="88" t="str"/>
      <x:c r="I87" s="88" t="str">
        <x:v>8486909910；8486909990</x:v>
      </x:c>
      <x:c r="J87" s="87" t="str">
        <x:v>8486909910 制造半导体器件或集成电路用光刻设备用零件及附件；8486909990 其他品目84.86所列设备用零件及附件</x:v>
      </x:c>
    </x:row>
    <x:row r="88" ht="38" customHeight="1">
      <x:c r="A88" s="87" t="str">
        <x:v>Z2024-0018</x:v>
      </x:c>
      <x:c r="B88" s="87" t="str">
        <x:v>半导体晶圆制造用自粘式矩形抛光垫</x:v>
      </x:c>
      <x:c r="C88" s="88" t="str">
        <x:v>8486.9099</x:v>
      </x:c>
      <x:c r="D88" s="88" t="str">
        <x:v>8位</x:v>
      </x:c>
      <x:c r="E88" s="88" t="str">
        <x:v>84869099</x:v>
      </x:c>
      <x:c r="F88" s="87" t="n">
        <x:v>2</x:v>
      </x:c>
      <x:c r="G88" s="87" t="str">
        <x:v>多候选</x:v>
      </x:c>
      <x:c r="H88" s="88" t="str"/>
      <x:c r="I88" s="88" t="str">
        <x:v>8486909910；8486909990</x:v>
      </x:c>
      <x:c r="J88" s="87" t="str">
        <x:v>8486909910 制造半导体器件或集成电路用光刻设备用零件及附件；8486909990 其他品目84.86所列设备用零件及附件</x:v>
      </x:c>
    </x:row>
    <x:row r="89" ht="38" customHeight="1">
      <x:c r="A89" s="87" t="str">
        <x:v>J2025-0001</x:v>
      </x:c>
      <x:c r="B89" s="87" t="str">
        <x:v>冷冻罗非鱼鱼皮</x:v>
      </x:c>
      <x:c r="C89" s="88" t="str">
        <x:v>0303.9900</x:v>
      </x:c>
      <x:c r="D89" s="88" t="str">
        <x:v>8位</x:v>
      </x:c>
      <x:c r="E89" s="88" t="str">
        <x:v>03039900</x:v>
      </x:c>
      <x:c r="F89" s="87" t="n">
        <x:v>3</x:v>
      </x:c>
      <x:c r="G89" s="87" t="str">
        <x:v>多候选</x:v>
      </x:c>
      <x:c r="H89" s="88" t="str"/>
      <x:c r="I89" s="88" t="str">
        <x:v>0303990010；0303990020；0303990090</x:v>
      </x:c>
      <x:c r="J89" s="87" t="str">
        <x:v>0303990010 其他冻可食用濒危鱼杂碎；0303990020 冻的大菱鲆、比目鱼、鲱鱼、鲭鱼、鲳鱼、带鱼、尼罗河鲈鱼、尖吻鲈鱼、其他鲈鱼的可食用其他鱼杂碎；0303990090 其他冻可食用其他鱼杂碎</x:v>
      </x:c>
    </x:row>
    <x:row r="90" ht="38" customHeight="1">
      <x:c r="A90" s="87" t="str">
        <x:v>J2025-0002</x:v>
      </x:c>
      <x:c r="B90" s="87" t="str">
        <x:v>血糖试纸</x:v>
      </x:c>
      <x:c r="C90" s="88" t="str">
        <x:v>3822.1900</x:v>
      </x:c>
      <x:c r="D90" s="88" t="str">
        <x:v>8位</x:v>
      </x:c>
      <x:c r="E90" s="88" t="str">
        <x:v>38221900</x:v>
      </x:c>
      <x:c r="F90" s="87" t="n">
        <x:v>5</x:v>
      </x:c>
      <x:c r="G90" s="87" t="str">
        <x:v>多候选</x:v>
      </x:c>
      <x:c r="H90" s="88" t="str"/>
      <x:c r="I90" s="88" t="str">
        <x:v>3822190010；3822190020；3822190030；3822190040；3822190090</x:v>
      </x:c>
      <x:c r="J90" s="87" t="str">
        <x:v>3822190010 兽用诊断制品（用于一、二、三类动物疫病诊断的诊断试剂盒、试纸条）；3822190020 新型冠状病毒检测试剂盒；3822190030 鲎试剂；3822190040 已配制的用于甲型肝炎病毒、乙型肝炎病毒、丙型肝炎病毒、人类免疫缺陷病毒、梅毒螺旋体的诊断试剂盒；3822190090 其他附于衬背上的诊断或实验用试剂及不论是否附于衬背上的诊断或实验用配制试剂，不论是否制成试剂盒形式，但税目30.06的货品除外</x:v>
      </x:c>
    </x:row>
    <x:row r="91" ht="38" customHeight="1">
      <x:c r="A91" s="87" t="str">
        <x:v>J2025-0003</x:v>
      </x:c>
      <x:c r="B91" s="87" t="str">
        <x:v>玻璃淋浴房</x:v>
      </x:c>
      <x:c r="C91" s="88" t="str">
        <x:v>7020.0099</x:v>
      </x:c>
      <x:c r="D91" s="88" t="str">
        <x:v>8位</x:v>
      </x:c>
      <x:c r="E91" s="88" t="str">
        <x:v>70200099</x:v>
      </x:c>
      <x:c r="F91" s="87" t="n">
        <x:v>2</x:v>
      </x:c>
      <x:c r="G91" s="87" t="str">
        <x:v>多候选</x:v>
      </x:c>
      <x:c r="H91" s="88" t="str"/>
      <x:c r="I91" s="88" t="str">
        <x:v>7020009901；7020009990</x:v>
      </x:c>
      <x:c r="J91" s="87" t="str">
        <x:v>7020009901 石英玻璃,平整度小于等于1微米；7020009990 其他非工业用玻璃制品</x:v>
      </x:c>
    </x:row>
    <x:row r="92" ht="38" customHeight="1">
      <x:c r="A92" s="87" t="str">
        <x:v>J2025-0004</x:v>
      </x:c>
      <x:c r="B92" s="87" t="str">
        <x:v>玻璃淋浴房</x:v>
      </x:c>
      <x:c r="C92" s="88" t="str">
        <x:v>7308.3000</x:v>
      </x:c>
      <x:c r="D92" s="88" t="str">
        <x:v>8位</x:v>
      </x:c>
      <x:c r="E92" s="88" t="str">
        <x:v>73083000</x:v>
      </x:c>
      <x:c r="F92" s="87" t="n">
        <x:v>1</x:v>
      </x:c>
      <x:c r="G92" s="87" t="str">
        <x:v>唯一现行候选</x:v>
      </x:c>
      <x:c r="H92" s="88" t="str">
        <x:v>7308300000</x:v>
      </x:c>
      <x:c r="I92" s="88" t="str">
        <x:v>7308300000</x:v>
      </x:c>
      <x:c r="J92" s="87" t="str">
        <x:v>7308300000 钢铁制门窗及其框架、门槛</x:v>
      </x:c>
    </x:row>
    <x:row r="93" ht="38" customHeight="1">
      <x:c r="A93" s="87" t="str">
        <x:v>J2025-0005</x:v>
      </x:c>
      <x:c r="B93" s="87" t="str">
        <x:v>厢式汽车</x:v>
      </x:c>
      <x:c r="C93" s="88" t="str">
        <x:v>8703.2413</x:v>
      </x:c>
      <x:c r="D93" s="88" t="str">
        <x:v>8位</x:v>
      </x:c>
      <x:c r="E93" s="88" t="str">
        <x:v>87032413</x:v>
      </x:c>
      <x:c r="F93" s="87" t="n">
        <x:v>2</x:v>
      </x:c>
      <x:c r="G93" s="87" t="str">
        <x:v>多候选</x:v>
      </x:c>
      <x:c r="H93" s="88" t="str"/>
      <x:c r="I93" s="88" t="str">
        <x:v>8703241310；8703241390</x:v>
      </x:c>
      <x:c r="J93" s="87" t="str">
        <x:v>8703241310 仅装有3＜排量≤4升的点燃式活塞内燃发动机的小客车；8703241390 仅装有3＜排量≤4升的点燃式活塞内燃发动机的小客车的成套散件</x:v>
      </x:c>
    </x:row>
    <x:row r="94" ht="38" customHeight="1">
      <x:c r="A94" s="87" t="str">
        <x:v>J2025-0006</x:v>
      </x:c>
      <x:c r="B94" s="87" t="str">
        <x:v>厢式汽车</x:v>
      </x:c>
      <x:c r="C94" s="88" t="str">
        <x:v>8703.3213</x:v>
      </x:c>
      <x:c r="D94" s="88" t="str">
        <x:v>8位</x:v>
      </x:c>
      <x:c r="E94" s="88" t="str">
        <x:v>87033213</x:v>
      </x:c>
      <x:c r="F94" s="87" t="n">
        <x:v>2</x:v>
      </x:c>
      <x:c r="G94" s="87" t="str">
        <x:v>多候选</x:v>
      </x:c>
      <x:c r="H94" s="88" t="str"/>
      <x:c r="I94" s="88" t="str">
        <x:v>8703321310；8703321390</x:v>
      </x:c>
      <x:c r="J94" s="87" t="str">
        <x:v>8703321310 仅装有1.5＜排量≤2升的装压燃式活塞内燃发动机小客车；8703321390 仅装有1.5＜排量≤2升的压燃式活塞内燃发动机小客车的成套散件</x:v>
      </x:c>
    </x:row>
    <x:row r="95" ht="38" customHeight="1">
      <x:c r="A95" s="87" t="str">
        <x:v>J2025-0007</x:v>
      </x:c>
      <x:c r="B95" s="87" t="str">
        <x:v>展示用飞机（拆解退役飞机）</x:v>
      </x:c>
      <x:c r="C95" s="88" t="str">
        <x:v>8807.3000</x:v>
      </x:c>
      <x:c r="D95" s="88" t="str">
        <x:v>8位</x:v>
      </x:c>
      <x:c r="E95" s="88" t="str">
        <x:v>88073000</x:v>
      </x:c>
      <x:c r="F95" s="87" t="n">
        <x:v>1</x:v>
      </x:c>
      <x:c r="G95" s="87" t="str">
        <x:v>唯一现行候选</x:v>
      </x:c>
      <x:c r="H95" s="88" t="str">
        <x:v>8807300000</x:v>
      </x:c>
      <x:c r="I95" s="88" t="str">
        <x:v>8807300000</x:v>
      </x:c>
      <x:c r="J95" s="87" t="str">
        <x:v>8807300000 飞机、直升机及无人驾驶航空器的其他零件</x:v>
      </x:c>
    </x:row>
    <x:row r="96" ht="38" customHeight="1">
      <x:c r="A96" s="87" t="str">
        <x:v>J2025-0008</x:v>
      </x:c>
      <x:c r="B96" s="87" t="str">
        <x:v>内窥镜用吻合器械（腔镜下切割吻合器）</x:v>
      </x:c>
      <x:c r="C96" s="88" t="str">
        <x:v>9018.9099</x:v>
      </x:c>
      <x:c r="D96" s="88" t="str">
        <x:v>8位</x:v>
      </x:c>
      <x:c r="E96" s="88" t="str">
        <x:v>90189099</x:v>
      </x:c>
      <x:c r="F96" s="87" t="n">
        <x:v>7</x:v>
      </x:c>
      <x:c r="G96" s="87" t="str">
        <x:v>多候选</x:v>
      </x:c>
      <x:c r="H96" s="88" t="str"/>
      <x:c r="I96" s="88" t="str">
        <x:v>9018909911；9018909912；9018909913；9018909914；9018909919；9018909991；9018909999</x:v>
      </x:c>
      <x:c r="J96" s="87" t="str">
        <x:v>9018909911 电子的其他医疗、外科用仪器器具；9018909912 医用可解脱弹簧圈；9018909913 颅内取栓支架；9018909914 伞形下腔静脉滤器；9018909919 其他医疗、外科或兽医用仪器器具；9018909991 电子的其他医疗、外科用仪器器具的零件及附件；9018909999 其他医疗、外科或兽医用仪器器具的零件及附件</x:v>
      </x:c>
    </x:row>
    <x:row r="97" ht="38" customHeight="1">
      <x:c r="A97" s="87" t="str">
        <x:v>Z2025-0001</x:v>
      </x:c>
      <x:c r="B97" s="87" t="str">
        <x:v>块状马苏里拉奶酪</x:v>
      </x:c>
      <x:c r="C97" s="88" t="str">
        <x:v>0406.1000</x:v>
      </x:c>
      <x:c r="D97" s="88" t="str">
        <x:v>8位</x:v>
      </x:c>
      <x:c r="E97" s="88" t="str">
        <x:v>04061000</x:v>
      </x:c>
      <x:c r="F97" s="87" t="n">
        <x:v>1</x:v>
      </x:c>
      <x:c r="G97" s="87" t="str">
        <x:v>唯一现行候选</x:v>
      </x:c>
      <x:c r="H97" s="88" t="str">
        <x:v>0406100000</x:v>
      </x:c>
      <x:c r="I97" s="88" t="str">
        <x:v>0406100000</x:v>
      </x:c>
      <x:c r="J97" s="87" t="str">
        <x:v>0406100000 鲜乳酪(未熟化或未固化的)</x:v>
      </x:c>
    </x:row>
    <x:row r="98" ht="38" customHeight="1">
      <x:c r="A98" s="87" t="str">
        <x:v>Z2025-0002</x:v>
      </x:c>
      <x:c r="B98" s="87" t="str">
        <x:v>独角鲸长牙</x:v>
      </x:c>
      <x:c r="C98" s="88" t="str">
        <x:v>0507.1000</x:v>
      </x:c>
      <x:c r="D98" s="88" t="str">
        <x:v>8位</x:v>
      </x:c>
      <x:c r="E98" s="88" t="str">
        <x:v>05071000</x:v>
      </x:c>
      <x:c r="F98" s="87" t="n">
        <x:v>4</x:v>
      </x:c>
      <x:c r="G98" s="87" t="str">
        <x:v>多候选</x:v>
      </x:c>
      <x:c r="H98" s="88" t="str"/>
      <x:c r="I98" s="88" t="str">
        <x:v>0507100010；0507100020；0507100030；0507100090</x:v>
      </x:c>
      <x:c r="J98" s="87" t="str">
        <x:v>0507100010 犀牛角；0507100020 其他濒危野生兽牙、兽牙粉末及废料；0507100030 其他兽牙；0507100090 其他兽牙粉末及废料</x:v>
      </x:c>
    </x:row>
    <x:row r="99" ht="38" customHeight="1">
      <x:c r="A99" s="87" t="str">
        <x:v>Z2025-0003</x:v>
      </x:c>
      <x:c r="B99" s="87" t="str">
        <x:v>柴桂叶</x:v>
      </x:c>
      <x:c r="C99" s="88" t="str">
        <x:v>0910.9990</x:v>
      </x:c>
      <x:c r="D99" s="88" t="str">
        <x:v>8位</x:v>
      </x:c>
      <x:c r="E99" s="88" t="str">
        <x:v>09109990</x:v>
      </x:c>
      <x:c r="F99" s="87" t="n">
        <x:v>1</x:v>
      </x:c>
      <x:c r="G99" s="87" t="str">
        <x:v>唯一现行候选</x:v>
      </x:c>
      <x:c r="H99" s="88" t="str">
        <x:v>0910999000</x:v>
      </x:c>
      <x:c r="I99" s="88" t="str">
        <x:v>0910999000</x:v>
      </x:c>
      <x:c r="J99" s="87" t="str">
        <x:v>0910999000 其他调味香料</x:v>
      </x:c>
    </x:row>
    <x:row r="100" ht="38" customHeight="1">
      <x:c r="A100" s="87" t="str">
        <x:v>Z2025-0004</x:v>
      </x:c>
      <x:c r="B100" s="87" t="str">
        <x:v>饲用小麦粉</x:v>
      </x:c>
      <x:c r="C100" s="88" t="str">
        <x:v>1103.1100</x:v>
      </x:c>
      <x:c r="D100" s="88" t="str">
        <x:v>8位</x:v>
      </x:c>
      <x:c r="E100" s="88" t="str">
        <x:v>11031100</x:v>
      </x:c>
      <x:c r="F100" s="87" t="n">
        <x:v>2</x:v>
      </x:c>
      <x:c r="G100" s="87" t="str">
        <x:v>多候选</x:v>
      </x:c>
      <x:c r="H100" s="88" t="str"/>
      <x:c r="I100" s="88" t="str">
        <x:v>1103110001；1103110090</x:v>
      </x:c>
      <x:c r="J100" s="87" t="str">
        <x:v>1103110001 小麦粗粒及粗粉；1103110090 小麦粗粒及粗粉</x:v>
      </x:c>
    </x:row>
    <x:row r="101" ht="38" customHeight="1">
      <x:c r="A101" s="87" t="str">
        <x:v>Z2025-0005</x:v>
      </x:c>
      <x:c r="B101" s="87" t="str">
        <x:v>沉香木片</x:v>
      </x:c>
      <x:c r="C101" s="88" t="str">
        <x:v>1211.9050</x:v>
      </x:c>
      <x:c r="D101" s="88" t="str">
        <x:v>8位</x:v>
      </x:c>
      <x:c r="E101" s="88" t="str">
        <x:v>12119050</x:v>
      </x:c>
      <x:c r="F101" s="87" t="n">
        <x:v>3</x:v>
      </x:c>
      <x:c r="G101" s="87" t="str">
        <x:v>多候选</x:v>
      </x:c>
      <x:c r="H101" s="88" t="str"/>
      <x:c r="I101" s="88" t="str">
        <x:v>1211905030；1211905091；1211905099</x:v>
      </x:c>
      <x:c r="J101" s="87" t="str">
        <x:v>1211905030 香料用沉香木及拟沉香木；1211905091 其他主要用作香料的濒危植物；1211905099 其他主要用作香料的植物</x:v>
      </x:c>
    </x:row>
    <x:row r="102" ht="38" customHeight="1">
      <x:c r="A102" s="87" t="str">
        <x:v>Z2025-0006</x:v>
      </x:c>
      <x:c r="B102" s="87" t="str">
        <x:v>输液用三通</x:v>
      </x:c>
      <x:c r="C102" s="88" t="str">
        <x:v>8481.8029</x:v>
      </x:c>
      <x:c r="D102" s="88" t="str">
        <x:v>8位</x:v>
      </x:c>
      <x:c r="E102" s="88" t="str">
        <x:v>84818029</x:v>
      </x:c>
      <x:c r="F102" s="87" t="n">
        <x:v>2</x:v>
      </x:c>
      <x:c r="G102" s="87" t="str">
        <x:v>多候选</x:v>
      </x:c>
      <x:c r="H102" s="88" t="str"/>
      <x:c r="I102" s="88" t="str">
        <x:v>8481802910；8481802990</x:v>
      </x:c>
      <x:c r="J102" s="87" t="str">
        <x:v>8481802910 两用物项管制的其他换向阀；8481802990 其他换向阀</x:v>
      </x:c>
    </x:row>
    <x:row r="103" ht="38" customHeight="1">
      <x:c r="A103" s="87" t="str">
        <x:v>Z2025-0007</x:v>
      </x:c>
      <x:c r="B103" s="87" t="str">
        <x:v>迷你全地形车</x:v>
      </x:c>
      <x:c r="C103" s="88" t="str">
        <x:v>8703.1011</x:v>
      </x:c>
      <x:c r="D103" s="88" t="str">
        <x:v>8位</x:v>
      </x:c>
      <x:c r="E103" s="88" t="str">
        <x:v>87031011</x:v>
      </x:c>
      <x:c r="F103" s="87" t="n">
        <x:v>1</x:v>
      </x:c>
      <x:c r="G103" s="87" t="str">
        <x:v>唯一现行候选</x:v>
      </x:c>
      <x:c r="H103" s="88" t="str">
        <x:v>8703101100</x:v>
      </x:c>
      <x:c r="I103" s="88" t="str">
        <x:v>8703101100</x:v>
      </x:c>
      <x:c r="J103" s="87" t="str">
        <x:v>8703101100 全地形车</x:v>
      </x:c>
    </x:row>
    <x:row r="104" ht="38" customHeight="1">
      <x:c r="A104" s="87" t="str">
        <x:v>Z2025-0008</x:v>
      </x:c>
      <x:c r="B104" s="87" t="str">
        <x:v>植入式左心室辅助系统植入套组</x:v>
      </x:c>
      <x:c r="C104" s="88" t="str">
        <x:v>9021.9090</x:v>
      </x:c>
      <x:c r="D104" s="88" t="str">
        <x:v>8位</x:v>
      </x:c>
      <x:c r="E104" s="88" t="str">
        <x:v>90219090</x:v>
      </x:c>
      <x:c r="F104" s="87" t="n">
        <x:v>1</x:v>
      </x:c>
      <x:c r="G104" s="87" t="str">
        <x:v>唯一现行候选</x:v>
      </x:c>
      <x:c r="H104" s="88" t="str">
        <x:v>9021909000</x:v>
      </x:c>
      <x:c r="I104" s="88" t="str">
        <x:v>9021909000</x:v>
      </x:c>
      <x:c r="J104" s="87" t="str">
        <x:v>9021909000 其他弥补生理缺陷,残疾用器具等</x:v>
      </x:c>
    </x:row>
    <x:row r="105" ht="38" customHeight="1">
      <x:c r="A105" s="87" t="str">
        <x:v>Z2025-0009</x:v>
      </x:c>
      <x:c r="B105" s="87" t="str">
        <x:v>海象长牙</x:v>
      </x:c>
      <x:c r="C105" s="88" t="str">
        <x:v>9601.1000</x:v>
      </x:c>
      <x:c r="D105" s="88" t="str">
        <x:v>8位</x:v>
      </x:c>
      <x:c r="E105" s="88" t="str">
        <x:v>96011000</x:v>
      </x:c>
      <x:c r="F105" s="87" t="n">
        <x:v>2</x:v>
      </x:c>
      <x:c r="G105" s="87" t="str">
        <x:v>多候选</x:v>
      </x:c>
      <x:c r="H105" s="88" t="str"/>
      <x:c r="I105" s="88" t="str">
        <x:v>9601100010；9601100090</x:v>
      </x:c>
      <x:c r="J105" s="87" t="str">
        <x:v>9601100010 已加工的濒危兽牙及其制品；9601100090 其他已加工的兽牙及其制品</x:v>
      </x:c>
    </x:row>
  </x:sheetData>
  <x:conditionalFormatting sqref="G2:G105">
    <x:cfRule type="containsText" dxfId="0" priority="1" operator="containsText" text="唯一"/>
    <x:cfRule type="containsText" dxfId="1" priority="2" operator="containsText" text="多候选"/>
  </x:conditionalFormatting>
  <x:pageMargins left="0.7" right="0.7" top="0.75" bottom="0.75" header="0.3" footer="0.3"/>
  <x:tableParts count="1">
    <x:tablePart xmlns:r="http://schemas.openxmlformats.org/officeDocument/2006/relationships" r:id="Rebfb0610545243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96" hidden="0" customWidth="1"/>
  </x:cols>
  <x:sheetData>
    <x:row r="1">
      <x:c r="A1" s="91" t="str">
        <x:v>字段</x:v>
      </x:c>
      <x:c r="B1" s="91" t="str">
        <x:v>说明</x:v>
      </x:c>
    </x:row>
    <x:row r="2" ht="26" customHeight="1">
      <x:c r="A2" s="93" t="str">
        <x:v>year</x:v>
      </x:c>
      <x:c r="B2" s="93" t="str">
        <x:v>决定所属年度。</x:v>
      </x:c>
    </x:row>
    <x:row r="3" ht="26" customHeight="1">
      <x:c r="A3" s="93" t="str">
        <x:v>decision_no</x:v>
      </x:c>
      <x:c r="B3" s="93" t="str">
        <x:v>归类决定编号；保留Z/J/W前缀。</x:v>
      </x:c>
    </x:row>
    <x:row r="4" ht="26" customHeight="1">
      <x:c r="A4" s="93" t="str">
        <x:v>case_type</x:v>
      </x:c>
      <x:c r="B4" s="93" t="str">
        <x:v>中国归类决定(Z)、J类归类决定、WCO转化决定(W)。</x:v>
      </x:c>
    </x:row>
    <x:row r="5" ht="26" customHeight="1">
      <x:c r="A5" s="93" t="str">
        <x:v>hs_code_original</x:v>
      </x:c>
      <x:c r="B5" s="93" t="str">
        <x:v>决定发布当时的历史税则号列；永久保留，不覆盖。</x:v>
      </x:c>
    </x:row>
    <x:row r="6" ht="26" customHeight="1">
      <x:c r="A6" s="93" t="str">
        <x:v>heading_4 / subheading_6</x:v>
      </x:c>
      <x:c r="B6" s="93" t="str">
        <x:v>由 hs_code_original 自动推导，用于按税目层级召回。</x:v>
      </x:c>
    </x:row>
    <x:row r="7" ht="26" customHeight="1">
      <x:c r="A7" s="93" t="str">
        <x:v>product_description</x:v>
      </x:c>
      <x:c r="B7" s="93" t="str">
        <x:v>商品描述；官方附件原文不得由LLM改写覆盖。</x:v>
      </x:c>
    </x:row>
    <x:row r="8" ht="26" customHeight="1">
      <x:c r="A8" s="93" t="str">
        <x:v>classification_decision</x:v>
      </x:c>
      <x:c r="B8" s="93" t="str">
        <x:v>归类决定正文；WCO附件仅列依据时允许为空。</x:v>
      </x:c>
    </x:row>
    <x:row r="9" ht="26" customHeight="1">
      <x:c r="A9" s="93" t="str">
        <x:v>rule_basis</x:v>
      </x:c>
      <x:c r="B9" s="93" t="str">
        <x:v>从官方决定正文或附件提取的归类依据，不替代原文。</x:v>
      </x:c>
    </x:row>
    <x:row r="10" ht="26" customHeight="1">
      <x:c r="A10" s="93" t="str">
        <x:v>validity_status</x:v>
      </x:c>
      <x:c r="B10" s="93" t="str">
        <x:v>目前仅表示未在用户提供的2025失效清单中，不等于永久有效。</x:v>
      </x:c>
    </x:row>
    <x:row r="11" ht="26" customHeight="1">
      <x:c r="A11" s="93" t="str">
        <x:v>verification_grade</x:v>
      </x:c>
      <x:c r="B11" s="93" t="str">
        <x:v>A=官方附件/政府体系原文；A-/B+/B=不同程度的二次转载核验。</x:v>
      </x:c>
    </x:row>
    <x:row r="12" ht="26" customHeight="1">
      <x:c r="A12" s="93" t="str">
        <x:v>raw_text_status</x:v>
      </x:c>
      <x:c r="B12" s="93" t="str">
        <x:v>区分官方原文与二次摘要。清洗版仅保留可入库记录。</x:v>
      </x:c>
    </x:row>
    <x:row r="13" ht="26" customHeight="1">
      <x:c r="A13" s="93" t="str">
        <x:v>current_code_2026</x:v>
      </x:c>
      <x:c r="B13" s="93" t="str">
        <x:v>历史税号前缀在当前数据库仅有一个10位候选时填写；不是人工归类结论。</x:v>
      </x:c>
    </x:row>
    <x:row r="14" ht="26" customHeight="1">
      <x:c r="A14" s="93" t="str">
        <x:v>code_status_2026</x:v>
      </x:c>
      <x:c r="B14" s="93" t="str">
        <x:v>记录前缀核对状态和候选数量。</x:v>
      </x:c>
    </x:row>
    <x:row r="15" ht="26" customHeight="1">
      <x:c r="A15" s="93" t="str">
        <x:v>knowledge_status</x:v>
      </x:c>
      <x:c r="B15" s="93" t="str">
        <x:v>本清洗版全部为可入库。</x:v>
      </x:c>
    </x:row>
    <x:row r="16" ht="26" customHeight="1">
      <x:c r="A16" s="93" t="str">
        <x:v>税号核对工作表</x:v>
      </x:c>
      <x:c r="B16" s="93" t="str">
        <x:v>逐条列出历史税号在当前 hs_copilot.db 中命中的全部2026候选编码和品名。</x:v>
      </x:c>
    </x:row>
  </x:sheetData>
  <x:pageMargins left="0.7" right="0.7" top="0.75" bottom="0.75" header="0.3" footer="0.3"/>
  <x:tableParts count="1">
    <x:tablePart xmlns:r="http://schemas.openxmlformats.org/officeDocument/2006/relationships" r:id="Rae5be7ef3564462b"/>
  </x:tableParts>
</x:worksheet>
</file>